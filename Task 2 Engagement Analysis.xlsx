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fba5b1fa799382c/Desktop/Excel Project/"/>
    </mc:Choice>
  </mc:AlternateContent>
  <xr:revisionPtr revIDLastSave="251" documentId="11_E4B3978DCEABCEDF4386E6969182B7DC8A708D61" xr6:coauthVersionLast="47" xr6:coauthVersionMax="47" xr10:uidLastSave="{71FCC764-4357-4A97-8FB2-0B88F34CAB18}"/>
  <bookViews>
    <workbookView xWindow="84" yWindow="0" windowWidth="22956" windowHeight="12240" tabRatio="662" activeTab="1" xr2:uid="{00000000-000D-0000-FFFF-FFFF00000000}"/>
  </bookViews>
  <sheets>
    <sheet name="Task 2" sheetId="1" r:id="rId1"/>
    <sheet name="Task (2)" sheetId="5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N146" i="1"/>
  <c r="N203" i="1"/>
  <c r="N65" i="1"/>
  <c r="N55" i="1"/>
  <c r="N191" i="1"/>
  <c r="N2" i="1"/>
  <c r="N145" i="1"/>
  <c r="N163" i="1"/>
  <c r="N57" i="1"/>
  <c r="N159" i="1"/>
  <c r="N242" i="1"/>
  <c r="N192" i="1"/>
  <c r="N156" i="1"/>
  <c r="N76" i="1"/>
  <c r="N128" i="1"/>
  <c r="N262" i="1"/>
  <c r="N47" i="1"/>
  <c r="N214" i="1"/>
  <c r="N36" i="1"/>
  <c r="N272" i="1"/>
  <c r="N7" i="1"/>
  <c r="N179" i="1"/>
  <c r="N84" i="1"/>
  <c r="N175" i="1"/>
  <c r="N252" i="1"/>
  <c r="N74" i="1"/>
  <c r="N170" i="1"/>
  <c r="N204" i="1"/>
  <c r="N102" i="1"/>
  <c r="N177" i="1"/>
  <c r="N188" i="1"/>
  <c r="N26" i="1"/>
  <c r="N269" i="1"/>
  <c r="N117" i="1"/>
  <c r="N216" i="1"/>
  <c r="N90" i="1"/>
  <c r="N281" i="1"/>
  <c r="N278" i="1"/>
  <c r="N43" i="1"/>
  <c r="N88" i="1"/>
  <c r="N129" i="1"/>
  <c r="N67" i="1"/>
  <c r="N277" i="1"/>
  <c r="N71" i="1"/>
  <c r="N41" i="1"/>
  <c r="N114" i="1"/>
  <c r="N31" i="1"/>
  <c r="N87" i="1"/>
  <c r="N6" i="1"/>
  <c r="N105" i="1"/>
  <c r="N37" i="1"/>
  <c r="N229" i="1"/>
  <c r="N120" i="1"/>
  <c r="N260" i="1"/>
  <c r="N49" i="1"/>
  <c r="N96" i="1"/>
  <c r="N142" i="1"/>
  <c r="N301" i="1"/>
  <c r="N80" i="1"/>
  <c r="N144" i="1"/>
  <c r="N271" i="1"/>
  <c r="N283" i="1"/>
  <c r="N136" i="1"/>
  <c r="N286" i="1"/>
  <c r="N139" i="1"/>
  <c r="N15" i="1"/>
  <c r="N11" i="1"/>
  <c r="N264" i="1"/>
  <c r="N94" i="1"/>
  <c r="N29" i="1"/>
  <c r="N172" i="1"/>
  <c r="N248" i="1"/>
  <c r="N275" i="1"/>
  <c r="N253" i="1"/>
  <c r="N187" i="1"/>
  <c r="N119" i="1"/>
  <c r="N52" i="1"/>
  <c r="N45" i="1"/>
  <c r="N195" i="1"/>
  <c r="N143" i="1"/>
  <c r="N227" i="1"/>
  <c r="N39" i="1"/>
  <c r="N25" i="1"/>
  <c r="N224" i="1"/>
  <c r="N268" i="1"/>
  <c r="N221" i="1"/>
  <c r="N12" i="1"/>
  <c r="N110" i="1"/>
  <c r="N16" i="1"/>
  <c r="N183" i="1"/>
  <c r="N182" i="1"/>
  <c r="N215" i="1"/>
  <c r="N44" i="1"/>
  <c r="N46" i="1"/>
  <c r="N51" i="1"/>
  <c r="N97" i="1"/>
  <c r="N122" i="1"/>
  <c r="N206" i="1"/>
  <c r="N108" i="1"/>
  <c r="N166" i="1"/>
  <c r="N42" i="1"/>
  <c r="N209" i="1"/>
  <c r="N141" i="1"/>
  <c r="N219" i="1"/>
  <c r="N3" i="1"/>
  <c r="N150" i="1"/>
  <c r="N86" i="1"/>
  <c r="N50" i="1"/>
  <c r="N30" i="1"/>
  <c r="N21" i="1"/>
  <c r="N244" i="1"/>
  <c r="N279" i="1"/>
  <c r="N254" i="1"/>
  <c r="N148" i="1"/>
  <c r="N257" i="1"/>
  <c r="N289" i="1"/>
  <c r="N274" i="1"/>
  <c r="N231" i="1"/>
  <c r="N263" i="1"/>
  <c r="N127" i="1"/>
  <c r="N284" i="1"/>
  <c r="N228" i="1"/>
  <c r="N155" i="1"/>
  <c r="N83" i="1"/>
  <c r="N201" i="1"/>
  <c r="N290" i="1"/>
  <c r="N100" i="1"/>
  <c r="N180" i="1"/>
  <c r="N299" i="1"/>
  <c r="N239" i="1"/>
  <c r="N133" i="1"/>
  <c r="N261" i="1"/>
  <c r="N190" i="1"/>
  <c r="N118" i="1"/>
  <c r="N10" i="1"/>
  <c r="N22" i="1"/>
  <c r="N300" i="1"/>
  <c r="N70" i="1"/>
  <c r="N147" i="1"/>
  <c r="N202" i="1"/>
  <c r="N68" i="1"/>
  <c r="N132" i="1"/>
  <c r="N223" i="1"/>
  <c r="N72" i="1"/>
  <c r="N173" i="1"/>
  <c r="N197" i="1"/>
  <c r="N93" i="1"/>
  <c r="N174" i="1"/>
  <c r="N121" i="1"/>
  <c r="N205" i="1"/>
  <c r="N134" i="1"/>
  <c r="N169" i="1"/>
  <c r="N226" i="1"/>
  <c r="N101" i="1"/>
  <c r="N282" i="1"/>
  <c r="N8" i="1"/>
  <c r="N28" i="1"/>
  <c r="N165" i="1"/>
  <c r="N256" i="1"/>
  <c r="N33" i="1"/>
  <c r="N77" i="1"/>
  <c r="N82" i="1"/>
  <c r="N287" i="1"/>
  <c r="N95" i="1"/>
  <c r="N135" i="1"/>
  <c r="N27" i="1"/>
  <c r="N107" i="1"/>
  <c r="N158" i="1"/>
  <c r="N34" i="1"/>
  <c r="N115" i="1"/>
  <c r="N24" i="1"/>
  <c r="N109" i="1"/>
  <c r="N104" i="1"/>
  <c r="N234" i="1"/>
  <c r="N160" i="1"/>
  <c r="N17" i="1"/>
  <c r="N193" i="1"/>
  <c r="N200" i="1"/>
  <c r="N184" i="1"/>
  <c r="N273" i="1"/>
  <c r="N196" i="1"/>
  <c r="N20" i="1"/>
  <c r="N218" i="1"/>
  <c r="N153" i="1"/>
  <c r="N4" i="1"/>
  <c r="N59" i="1"/>
  <c r="N112" i="1"/>
  <c r="N75" i="1"/>
  <c r="N125" i="1"/>
  <c r="N106" i="1"/>
  <c r="N140" i="1"/>
  <c r="N212" i="1"/>
  <c r="N235" i="1"/>
  <c r="N92" i="1"/>
  <c r="N251" i="1"/>
  <c r="N285" i="1"/>
  <c r="N288" i="1"/>
  <c r="N48" i="1"/>
  <c r="N266" i="1"/>
  <c r="N217" i="1"/>
  <c r="N89" i="1"/>
  <c r="N168" i="1"/>
  <c r="N116" i="1"/>
  <c r="N185" i="1"/>
  <c r="N181" i="1"/>
  <c r="N199" i="1"/>
  <c r="N280" i="1"/>
  <c r="N186" i="1"/>
  <c r="N292" i="1"/>
  <c r="N297" i="1"/>
  <c r="N276" i="1"/>
  <c r="N13" i="1"/>
  <c r="N61" i="1"/>
  <c r="N167" i="1"/>
  <c r="N249" i="1"/>
  <c r="N123" i="1"/>
  <c r="N62" i="1"/>
  <c r="N265" i="1"/>
  <c r="N178" i="1"/>
  <c r="N60" i="1"/>
  <c r="N149" i="1"/>
  <c r="N298" i="1"/>
  <c r="N79" i="1"/>
  <c r="N245" i="1"/>
  <c r="N246" i="1"/>
  <c r="N63" i="1"/>
  <c r="N296" i="1"/>
  <c r="N137" i="1"/>
  <c r="N258" i="1"/>
  <c r="N208" i="1"/>
  <c r="N85" i="1"/>
  <c r="N176" i="1"/>
  <c r="N19" i="1"/>
  <c r="N213" i="1"/>
  <c r="N171" i="1"/>
  <c r="N56" i="1"/>
  <c r="N243" i="1"/>
  <c r="N18" i="1"/>
  <c r="N98" i="1"/>
  <c r="N259" i="1"/>
  <c r="N53" i="1"/>
  <c r="N113" i="1"/>
  <c r="N151" i="1"/>
  <c r="N131" i="1"/>
  <c r="N23" i="1"/>
  <c r="N198" i="1"/>
  <c r="N9" i="1"/>
  <c r="N40" i="1"/>
  <c r="N14" i="1"/>
  <c r="N270" i="1"/>
  <c r="N91" i="1"/>
  <c r="N255" i="1"/>
  <c r="N35" i="1"/>
  <c r="N233" i="1"/>
  <c r="N247" i="1"/>
  <c r="N154" i="1"/>
  <c r="N293" i="1"/>
  <c r="N189" i="1"/>
  <c r="N164" i="1"/>
  <c r="N207" i="1"/>
  <c r="N64" i="1"/>
  <c r="N241" i="1"/>
  <c r="N237" i="1"/>
  <c r="N138" i="1"/>
  <c r="N69" i="1"/>
  <c r="N220" i="1"/>
  <c r="N194" i="1"/>
  <c r="N130" i="1"/>
  <c r="N294" i="1"/>
  <c r="N38" i="1"/>
  <c r="N250" i="1"/>
  <c r="N211" i="1"/>
  <c r="N238" i="1"/>
  <c r="N126" i="1"/>
  <c r="N232" i="1"/>
  <c r="N162" i="1"/>
  <c r="N210" i="1"/>
  <c r="N5" i="1"/>
  <c r="N78" i="1"/>
  <c r="N111" i="1"/>
  <c r="N240" i="1"/>
  <c r="N152" i="1"/>
  <c r="N161" i="1"/>
  <c r="N291" i="1"/>
  <c r="N73" i="1"/>
  <c r="N157" i="1"/>
  <c r="N99" i="1"/>
  <c r="N103" i="1"/>
  <c r="N32" i="1"/>
  <c r="N230" i="1"/>
  <c r="N58" i="1"/>
  <c r="N267" i="1"/>
  <c r="N295" i="1"/>
  <c r="N81" i="1"/>
  <c r="N66" i="1"/>
  <c r="N225" i="1"/>
  <c r="N222" i="1"/>
  <c r="N236" i="1"/>
  <c r="N124" i="1"/>
  <c r="N54" i="1"/>
</calcChain>
</file>

<file path=xl/sharedStrings.xml><?xml version="1.0" encoding="utf-8"?>
<sst xmlns="http://schemas.openxmlformats.org/spreadsheetml/2006/main" count="1857" uniqueCount="354">
  <si>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</si>
  <si>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</si>
  <si>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</si>
  <si>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</si>
  <si>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</si>
  <si>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</si>
  <si>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</si>
  <si>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</si>
  <si>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</si>
  <si>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</si>
  <si>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</si>
  <si>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</si>
  <si>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</si>
  <si>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</si>
  <si>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</si>
  <si>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</si>
  <si>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</si>
  <si>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</si>
  <si>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</si>
  <si>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</si>
  <si>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</si>
  <si>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</si>
  <si>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</si>
  <si>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</si>
  <si>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</si>
  <si>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</si>
  <si>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</si>
  <si>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</si>
  <si>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</si>
  <si>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</si>
  <si>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</si>
  <si>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</si>
  <si>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</si>
  <si>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</si>
  <si>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</si>
  <si>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</si>
  <si>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</si>
  <si>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</si>
  <si>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</si>
  <si>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</si>
  <si>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</si>
  <si>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</si>
  <si>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</si>
  <si>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</si>
  <si>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</si>
  <si>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</si>
  <si>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</si>
  <si>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</si>
  <si>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</si>
  <si>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</si>
  <si>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</si>
  <si>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</si>
  <si>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</si>
  <si>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</si>
  <si>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</si>
  <si>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</si>
  <si>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</si>
  <si>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</si>
  <si>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</si>
  <si>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</si>
  <si>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</si>
  <si>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</si>
  <si>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</si>
  <si>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</si>
  <si>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</si>
  <si>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</si>
  <si>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</si>
  <si>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</si>
  <si>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</si>
  <si>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</si>
  <si>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</si>
  <si>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</si>
  <si>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</si>
  <si>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</si>
  <si>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</si>
  <si>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</si>
  <si>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</si>
  <si>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</si>
  <si>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</si>
  <si>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</si>
  <si>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</si>
  <si>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</si>
  <si>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</si>
  <si>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</si>
  <si>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</si>
  <si>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</si>
  <si>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</si>
  <si>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</si>
  <si>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</si>
  <si>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</si>
  <si>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</si>
  <si>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</si>
  <si>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</si>
  <si>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</si>
  <si>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</si>
  <si>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</si>
  <si>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</si>
  <si>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</si>
  <si>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</si>
  <si>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</si>
  <si>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</si>
  <si>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</si>
  <si>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</si>
  <si>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</si>
  <si>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</si>
  <si>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</si>
  <si>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</si>
  <si>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</si>
  <si>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</si>
  <si>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</si>
  <si>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</si>
  <si>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</si>
  <si>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</si>
  <si>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</si>
  <si>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</si>
  <si>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</si>
  <si>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</si>
  <si>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</si>
  <si>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</si>
  <si>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</si>
  <si>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</si>
  <si>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</si>
  <si>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</si>
  <si>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</si>
  <si>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</si>
  <si>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</si>
  <si>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</si>
  <si>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</si>
  <si>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</si>
  <si>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</si>
  <si>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</si>
  <si>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</si>
  <si>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</si>
  <si>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</si>
  <si>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</si>
  <si>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</si>
  <si>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</si>
  <si>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</si>
  <si>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</si>
  <si>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</si>
  <si>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</si>
  <si>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</si>
  <si>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</si>
  <si>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</si>
  <si>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</si>
  <si>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</si>
  <si>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</si>
  <si>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</si>
  <si>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</si>
  <si>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</si>
  <si>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</si>
  <si>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</si>
  <si>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</si>
  <si>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</si>
  <si>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</si>
  <si>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</si>
  <si>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</si>
  <si>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</si>
  <si>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</si>
  <si>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</si>
  <si>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</si>
  <si>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</si>
  <si>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</si>
  <si>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</si>
  <si>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</si>
  <si>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</si>
  <si>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</si>
  <si>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</si>
  <si>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</si>
  <si>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</si>
  <si>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</si>
  <si>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</si>
  <si>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</si>
  <si>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</si>
  <si>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</si>
  <si>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</si>
  <si>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</si>
  <si>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</si>
  <si>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</si>
  <si>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</si>
  <si>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</si>
  <si>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</si>
  <si>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</si>
  <si>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</si>
  <si>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</si>
  <si>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</si>
  <si>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</si>
  <si>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</si>
  <si>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</si>
  <si>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</si>
  <si>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</si>
  <si>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</si>
  <si>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</si>
  <si>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</si>
  <si>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</si>
  <si>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</si>
  <si>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</si>
  <si>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</si>
  <si>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</si>
  <si>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</si>
  <si>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</si>
  <si>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</si>
  <si>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</si>
  <si>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</si>
  <si>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</si>
  <si>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</si>
  <si>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</si>
  <si>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</si>
  <si>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</si>
  <si>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</si>
  <si>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</si>
  <si>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</si>
  <si>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</si>
  <si>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</si>
  <si>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</si>
  <si>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</si>
  <si>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</si>
  <si>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</si>
  <si>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</si>
  <si>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</si>
  <si>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</si>
  <si>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</si>
  <si>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</si>
  <si>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</si>
  <si>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</si>
  <si>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</si>
  <si>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</si>
  <si>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</si>
  <si>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</si>
  <si>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</si>
  <si>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</si>
  <si>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</si>
  <si>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</si>
  <si>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</si>
  <si>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</si>
  <si>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</si>
  <si>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</si>
  <si>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</si>
  <si>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</si>
  <si>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</si>
  <si>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</si>
  <si>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</si>
  <si>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</si>
  <si>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</si>
  <si>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</si>
  <si>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</si>
  <si>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</si>
  <si>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</si>
  <si>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</si>
  <si>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</si>
  <si>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</si>
  <si>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</si>
  <si>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</si>
  <si>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</si>
  <si>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</si>
  <si>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</si>
  <si>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</si>
  <si>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</si>
  <si>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</si>
  <si>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</si>
  <si>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</si>
  <si>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</si>
  <si>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</si>
  <si>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</si>
  <si>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</si>
  <si>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</si>
  <si>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</si>
  <si>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</si>
  <si>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</si>
  <si>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</si>
  <si>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</si>
  <si>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</si>
  <si>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</si>
  <si>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</si>
  <si>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</si>
  <si>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</si>
  <si>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</si>
  <si>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</si>
  <si>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</si>
  <si>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</si>
  <si>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</si>
  <si>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</si>
  <si>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</si>
  <si>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</si>
  <si>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</si>
  <si>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</si>
  <si>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</si>
  <si>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</si>
  <si>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</si>
  <si>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</si>
  <si>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</si>
  <si>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</si>
  <si>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</si>
  <si>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</si>
  <si>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</si>
  <si>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</si>
  <si>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</si>
  <si>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</si>
  <si>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</si>
  <si>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</si>
  <si>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</si>
  <si>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</si>
  <si>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</si>
  <si>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</si>
  <si>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</si>
  <si>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</si>
  <si>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</si>
  <si>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</si>
  <si>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</si>
  <si>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</si>
  <si>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</si>
  <si>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</si>
  <si>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</si>
  <si>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</si>
  <si>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</si>
  <si>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</si>
  <si>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</si>
  <si>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</si>
  <si>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</si>
  <si>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</si>
  <si>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</si>
  <si>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</si>
  <si>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</si>
  <si>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</si>
  <si>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</si>
  <si>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</si>
  <si>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</si>
  <si>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</si>
  <si>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</si>
  <si>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</si>
  <si>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</si>
  <si>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</si>
  <si>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</si>
  <si>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</si>
  <si>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</si>
  <si>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</si>
  <si>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</si>
  <si>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</si>
  <si>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</si>
  <si>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</si>
  <si>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</si>
  <si>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</si>
  <si>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Row Labels</t>
  </si>
  <si>
    <t>Grand Total</t>
  </si>
  <si>
    <t>Sum of Likes</t>
  </si>
  <si>
    <t>Sum of Shares</t>
  </si>
  <si>
    <t>Sum of Comments</t>
  </si>
  <si>
    <t>Total Likes, Shares, Comments by Content Type and Platform</t>
  </si>
  <si>
    <t>Average of Clicks</t>
  </si>
  <si>
    <t xml:space="preserve">Average Clicks per post by Hashtag </t>
  </si>
  <si>
    <t xml:space="preserve">rank by engagement rate </t>
  </si>
  <si>
    <t>Sum of Engagement Rate</t>
  </si>
  <si>
    <t xml:space="preserve"> Top performing Hashtag rank</t>
  </si>
  <si>
    <t>Rank by 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</si>
</sst>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7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49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1" fontId="0" fillId="0" borderId="0" xfId="0" applyNumberFormat="1"/>
    <xf numFmtId="49" fontId="3" fillId="0" borderId="0" xfId="0" applyNumberFormat="1" applyFont="1"/>
    <xf numFmtId="14" fontId="3" fillId="0" borderId="0" xfId="0" applyNumberFormat="1" applyFont="1"/>
    <xf numFmtId="1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3" fillId="0" borderId="0" xfId="1" applyFont="1"/>
    <xf numFmtId="9" fontId="0" fillId="0" borderId="0" xfId="1" applyFont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2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22860</xdr:rowOff>
    </xdr:from>
    <xdr:to>
      <xdr:col>4</xdr:col>
      <xdr:colOff>1135380</xdr:colOff>
      <xdr:row>25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531128-D2AC-B77B-7FFF-EC33E728F9B2}"/>
            </a:ext>
          </a:extLst>
        </xdr:cNvPr>
        <xdr:cNvSpPr txBox="1"/>
      </xdr:nvSpPr>
      <xdr:spPr>
        <a:xfrm>
          <a:off x="0" y="2766060"/>
          <a:ext cx="4137660" cy="195072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🔎 Key Findings:</a:t>
          </a:r>
        </a:p>
        <a:p>
          <a:endParaRPr lang="en-IN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Twitter shows the highest overall engagement rate among all platforms.</a:t>
          </a:r>
        </a:p>
        <a:p>
          <a:pPr lvl="0"/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Text generate significantly higher engagement compared to Story on Instagram,</a:t>
          </a:r>
          <a:r>
            <a:rPr lang="en-IN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Story on Twitter and Text on Youtybe. Hence Text generate higher engagement compared to other contents.</a:t>
          </a:r>
          <a:endParaRPr lang="en-I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Top</a:t>
          </a:r>
          <a:r>
            <a:rPr lang="en-IN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performing hashtags are shown in the blue formating by conditional formating.</a:t>
          </a:r>
        </a:p>
        <a:p>
          <a:pPr lvl="0"/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The top 10 posts are primarily Text and Story - based content featuring trending artists.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0.683755208331" createdVersion="8" refreshedVersion="8" minRefreshableVersion="3" recordCount="300" xr:uid="{91296E31-BCEA-495E-9A5D-CF5E8B7CB24D}">
  <cacheSource type="worksheet">
    <worksheetSource ref="A1:O301" sheet="Task 2"/>
  </cacheSource>
  <cacheFields count="16">
    <cacheField name="Post ID" numFmtId="49">
      <sharedItems/>
    </cacheField>
    <cacheField name="Platform" numFmtId="49">
      <sharedItems count="3">
        <s v="Twitter"/>
        <s v="Instagram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 count="3">
        <s v="Story"/>
        <s v="Text"/>
        <s v="Reel"/>
      </sharedItems>
    </cacheField>
    <cacheField name="Post Text" numFmtId="0">
      <sharedItems count="10">
        <s v="Get into the groove with our new drop!"/>
        <s v="New music just dropped. Hit play!"/>
        <s v="Explore the latest podcasts now."/>
        <s v="Discover fresh beats on Spotify!"/>
        <s v="Whatâ€™s your vibe today? #SpotifyHits"/>
        <s v="From pop to podcasts, itâ€™s all here."/>
        <s v="Wrapped is here! Relive your top tracks ðŸŽ§"/>
        <s v="Top trending tracks updated daily!"/>
        <s v="Music that moves youâ€”only on Spotify."/>
        <s v="Your weekend playlist is waiting."/>
      </sharedItems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 count="8">
        <s v="#SoundtrackOfLife,#NowPlaying"/>
        <s v="#MusicForEveryone,#NowPlaying"/>
        <s v="#NowPlaying"/>
        <s v="#DiscoverWeekly,#SpotifyWrapped"/>
        <s v="#DiscoverWeekly,#SoundtrackOfLife"/>
        <s v="#SoundtrackOfLife"/>
        <s v="#DiscoverWeekly,#MusicForEveryone"/>
        <s v="#DiscoverWeekly"/>
      </sharedItems>
    </cacheField>
    <cacheField name="Campaign_Name" numFmtId="49">
      <sharedItems/>
    </cacheField>
    <cacheField name="Engagement Rate" numFmtId="2">
      <sharedItems containsSemiMixedTypes="0" containsString="0" containsNumber="1" minValue="2.50275284149232E-2" maxValue="0.26064752360763155"/>
    </cacheField>
    <cacheField name="Post rank by engagement rate " numFmtId="1">
      <sharedItems containsSemiMixedTypes="0" containsString="0" containsNumber="1" containsInteger="1" minValue="1" maxValue="300"/>
    </cacheField>
    <cacheField name="rank by engagement" numFmtId="0" formula="'Engagement Ra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7"/>
    <x v="0"/>
    <d v="2024-12-19T00:00:00"/>
    <x v="0"/>
    <x v="0"/>
    <n v="4674"/>
    <n v="409"/>
    <n v="327"/>
    <n v="20756"/>
    <n v="63599"/>
    <n v="212"/>
    <x v="0"/>
    <s v="ChillVibes"/>
    <n v="0.26064752360763155"/>
    <n v="1"/>
  </r>
  <r>
    <s v="SP106"/>
    <x v="0"/>
    <d v="2025-01-20T00:00:00"/>
    <x v="0"/>
    <x v="1"/>
    <n v="4619"/>
    <n v="272"/>
    <n v="57"/>
    <n v="21334"/>
    <n v="46292"/>
    <n v="91"/>
    <x v="0"/>
    <s v="ChillVibes"/>
    <n v="0.23193025217961938"/>
    <n v="2"/>
  </r>
  <r>
    <s v="SP186"/>
    <x v="0"/>
    <d v="2024-06-16T00:00:00"/>
    <x v="0"/>
    <x v="2"/>
    <n v="4618"/>
    <n v="312"/>
    <n v="254"/>
    <n v="22571"/>
    <n v="29453"/>
    <n v="197"/>
    <x v="1"/>
    <s v="ChillVibes"/>
    <n v="0.22967524699836073"/>
    <n v="3"/>
  </r>
  <r>
    <s v="SP279"/>
    <x v="0"/>
    <d v="2025-01-19T00:00:00"/>
    <x v="0"/>
    <x v="1"/>
    <n v="3507"/>
    <n v="295"/>
    <n v="371"/>
    <n v="20410"/>
    <n v="53965"/>
    <n v="212"/>
    <x v="0"/>
    <s v="ChillVibes"/>
    <n v="0.20445859872611466"/>
    <n v="4"/>
  </r>
  <r>
    <s v="SP050"/>
    <x v="0"/>
    <d v="2025-04-22T00:00:00"/>
    <x v="1"/>
    <x v="3"/>
    <n v="4401"/>
    <n v="421"/>
    <n v="216"/>
    <n v="24890"/>
    <n v="54361"/>
    <n v="148"/>
    <x v="2"/>
    <s v="ChillVibes"/>
    <n v="0.20241060666934513"/>
    <n v="5"/>
  </r>
  <r>
    <s v="SP022"/>
    <x v="1"/>
    <d v="2025-06-15T00:00:00"/>
    <x v="1"/>
    <x v="4"/>
    <n v="4896"/>
    <n v="466"/>
    <n v="233"/>
    <n v="28621"/>
    <n v="34270"/>
    <n v="84"/>
    <x v="0"/>
    <s v="ChillVibes"/>
    <n v="0.19548583208133888"/>
    <n v="6"/>
  </r>
  <r>
    <s v="SP157"/>
    <x v="2"/>
    <d v="2025-03-02T00:00:00"/>
    <x v="1"/>
    <x v="5"/>
    <n v="4425"/>
    <n v="185"/>
    <n v="162"/>
    <n v="24610"/>
    <n v="21342"/>
    <n v="158"/>
    <x v="3"/>
    <s v="IndieWave"/>
    <n v="0.19390491670052823"/>
    <n v="7"/>
  </r>
  <r>
    <s v="SP248"/>
    <x v="2"/>
    <d v="2024-06-14T00:00:00"/>
    <x v="2"/>
    <x v="6"/>
    <n v="4722"/>
    <n v="310"/>
    <n v="344"/>
    <n v="27911"/>
    <n v="19000"/>
    <n v="225"/>
    <x v="4"/>
    <s v="SummerBeats"/>
    <n v="0.19261223173659131"/>
    <n v="8"/>
  </r>
  <r>
    <s v="SP136"/>
    <x v="0"/>
    <d v="2024-11-19T00:00:00"/>
    <x v="1"/>
    <x v="7"/>
    <n v="3728"/>
    <n v="271"/>
    <n v="275"/>
    <n v="22827"/>
    <n v="37034"/>
    <n v="199"/>
    <x v="2"/>
    <s v="ChillVibes"/>
    <n v="0.18723441538528934"/>
    <n v="9"/>
  </r>
  <r>
    <s v="SP068"/>
    <x v="0"/>
    <d v="2024-03-28T00:00:00"/>
    <x v="1"/>
    <x v="8"/>
    <n v="3276"/>
    <n v="421"/>
    <n v="114"/>
    <n v="20580"/>
    <n v="30324"/>
    <n v="221"/>
    <x v="5"/>
    <s v="IndieWave"/>
    <n v="0.18517978620019437"/>
    <n v="10"/>
  </r>
  <r>
    <s v="SP088"/>
    <x v="0"/>
    <d v="2025-02-17T00:00:00"/>
    <x v="0"/>
    <x v="4"/>
    <n v="4796"/>
    <n v="427"/>
    <n v="339"/>
    <n v="30752"/>
    <n v="33870"/>
    <n v="298"/>
    <x v="0"/>
    <s v="ChillVibes"/>
    <n v="0.18086628511966701"/>
    <n v="11"/>
  </r>
  <r>
    <s v="SP213"/>
    <x v="1"/>
    <d v="2025-06-24T00:00:00"/>
    <x v="0"/>
    <x v="0"/>
    <n v="4902"/>
    <n v="422"/>
    <n v="376"/>
    <n v="31674"/>
    <n v="53225"/>
    <n v="147"/>
    <x v="2"/>
    <s v="Wrapped2024"/>
    <n v="0.17995832544042431"/>
    <n v="12"/>
  </r>
  <r>
    <s v="SP250"/>
    <x v="0"/>
    <d v="2025-05-15T00:00:00"/>
    <x v="1"/>
    <x v="9"/>
    <n v="4782"/>
    <n v="210"/>
    <n v="311"/>
    <n v="29793"/>
    <n v="37543"/>
    <n v="145"/>
    <x v="2"/>
    <s v="ChillVibes"/>
    <n v="0.17799483100057059"/>
    <n v="13"/>
  </r>
  <r>
    <s v="SP067"/>
    <x v="2"/>
    <d v="2024-04-02T00:00:00"/>
    <x v="2"/>
    <x v="9"/>
    <n v="4563"/>
    <n v="488"/>
    <n v="356"/>
    <n v="30619"/>
    <n v="23328"/>
    <n v="267"/>
    <x v="4"/>
    <s v="SummerBeats"/>
    <n v="0.17658969920637513"/>
    <n v="14"/>
  </r>
  <r>
    <s v="SP090"/>
    <x v="0"/>
    <d v="2024-07-22T00:00:00"/>
    <x v="0"/>
    <x v="6"/>
    <n v="3336"/>
    <n v="229"/>
    <n v="337"/>
    <n v="22117"/>
    <n v="26205"/>
    <n v="160"/>
    <x v="1"/>
    <s v="ChillVibes"/>
    <n v="0.17642537414658407"/>
    <n v="15"/>
  </r>
  <r>
    <s v="SP177"/>
    <x v="0"/>
    <d v="2024-11-10T00:00:00"/>
    <x v="1"/>
    <x v="2"/>
    <n v="4823"/>
    <n v="489"/>
    <n v="302"/>
    <n v="32470"/>
    <n v="31861"/>
    <n v="178"/>
    <x v="5"/>
    <s v="IndieWave"/>
    <n v="0.1728980597474592"/>
    <n v="16"/>
  </r>
  <r>
    <s v="SP239"/>
    <x v="0"/>
    <d v="2024-12-13T00:00:00"/>
    <x v="0"/>
    <x v="1"/>
    <n v="4984"/>
    <n v="300"/>
    <n v="338"/>
    <n v="32900"/>
    <n v="31691"/>
    <n v="160"/>
    <x v="1"/>
    <s v="ChillVibes"/>
    <n v="0.17088145896656534"/>
    <n v="17"/>
  </r>
  <r>
    <s v="SP234"/>
    <x v="0"/>
    <d v="2024-02-02T00:00:00"/>
    <x v="1"/>
    <x v="5"/>
    <n v="3818"/>
    <n v="115"/>
    <n v="286"/>
    <n v="25127"/>
    <n v="22277"/>
    <n v="263"/>
    <x v="2"/>
    <s v="ChillVibes"/>
    <n v="0.16790703227603773"/>
    <n v="18"/>
  </r>
  <r>
    <s v="SP183"/>
    <x v="0"/>
    <d v="2024-07-23T00:00:00"/>
    <x v="1"/>
    <x v="7"/>
    <n v="3204"/>
    <n v="398"/>
    <n v="85"/>
    <n v="22020"/>
    <n v="58353"/>
    <n v="286"/>
    <x v="5"/>
    <s v="IndieWave"/>
    <n v="0.16743869209809265"/>
    <n v="19"/>
  </r>
  <r>
    <s v="SP111"/>
    <x v="2"/>
    <d v="2024-07-20T00:00:00"/>
    <x v="2"/>
    <x v="8"/>
    <n v="4955"/>
    <n v="299"/>
    <n v="345"/>
    <n v="33644"/>
    <n v="43547"/>
    <n v="194"/>
    <x v="4"/>
    <s v="SummerBeats"/>
    <n v="0.16641897515158721"/>
    <n v="20"/>
  </r>
  <r>
    <s v="SP137"/>
    <x v="0"/>
    <d v="2024-04-05T00:00:00"/>
    <x v="0"/>
    <x v="1"/>
    <n v="4965"/>
    <n v="175"/>
    <n v="307"/>
    <n v="32793"/>
    <n v="43412"/>
    <n v="296"/>
    <x v="0"/>
    <s v="ChillVibes"/>
    <n v="0.16610252187966945"/>
    <n v="21"/>
  </r>
  <r>
    <s v="SP246"/>
    <x v="0"/>
    <d v="2024-07-08T00:00:00"/>
    <x v="0"/>
    <x v="7"/>
    <n v="2981"/>
    <n v="258"/>
    <n v="168"/>
    <n v="20677"/>
    <n v="68290"/>
    <n v="130"/>
    <x v="0"/>
    <s v="ChillVibes"/>
    <n v="0.16477245248343569"/>
    <n v="22"/>
  </r>
  <r>
    <s v="SP172"/>
    <x v="2"/>
    <d v="2024-04-18T00:00:00"/>
    <x v="1"/>
    <x v="2"/>
    <n v="4023"/>
    <n v="293"/>
    <n v="91"/>
    <n v="26795"/>
    <n v="28924"/>
    <n v="278"/>
    <x v="3"/>
    <s v="IndieWave"/>
    <n v="0.16447098339242397"/>
    <n v="23"/>
  </r>
  <r>
    <s v="SP084"/>
    <x v="0"/>
    <d v="2024-08-03T00:00:00"/>
    <x v="1"/>
    <x v="9"/>
    <n v="4247"/>
    <n v="390"/>
    <n v="213"/>
    <n v="29785"/>
    <n v="57768"/>
    <n v="122"/>
    <x v="2"/>
    <s v="ChillVibes"/>
    <n v="0.16283364109451065"/>
    <n v="24"/>
  </r>
  <r>
    <s v="SP033"/>
    <x v="0"/>
    <d v="2024-10-09T00:00:00"/>
    <x v="0"/>
    <x v="3"/>
    <n v="4929"/>
    <n v="182"/>
    <n v="95"/>
    <n v="32181"/>
    <n v="31084"/>
    <n v="289"/>
    <x v="6"/>
    <s v="ChillVibes"/>
    <n v="0.16177247444144061"/>
    <n v="25"/>
  </r>
  <r>
    <s v="SP167"/>
    <x v="2"/>
    <d v="2025-01-27T00:00:00"/>
    <x v="1"/>
    <x v="6"/>
    <n v="4294"/>
    <n v="423"/>
    <n v="93"/>
    <n v="29828"/>
    <n v="73144"/>
    <n v="298"/>
    <x v="3"/>
    <s v="IndieWave"/>
    <n v="0.1612578785034196"/>
    <n v="26"/>
  </r>
  <r>
    <s v="SP158"/>
    <x v="0"/>
    <d v="2025-03-21T00:00:00"/>
    <x v="0"/>
    <x v="1"/>
    <n v="4609"/>
    <n v="427"/>
    <n v="395"/>
    <n v="33698"/>
    <n v="29259"/>
    <n v="216"/>
    <x v="6"/>
    <s v="ChillVibes"/>
    <n v="0.16116683482699271"/>
    <n v="27"/>
  </r>
  <r>
    <s v="SP071"/>
    <x v="0"/>
    <d v="2024-01-11T00:00:00"/>
    <x v="1"/>
    <x v="4"/>
    <n v="4218"/>
    <n v="247"/>
    <n v="183"/>
    <n v="28914"/>
    <n v="18310"/>
    <n v="135"/>
    <x v="5"/>
    <s v="IndieWave"/>
    <n v="0.1607525766064882"/>
    <n v="28"/>
  </r>
  <r>
    <s v="SP110"/>
    <x v="1"/>
    <d v="2024-06-26T00:00:00"/>
    <x v="1"/>
    <x v="1"/>
    <n v="3253"/>
    <n v="483"/>
    <n v="336"/>
    <n v="25397"/>
    <n v="51485"/>
    <n v="131"/>
    <x v="7"/>
    <s v="IndieWave"/>
    <n v="0.16033389770445328"/>
    <n v="29"/>
  </r>
  <r>
    <s v="SP048"/>
    <x v="1"/>
    <d v="2025-02-05T00:00:00"/>
    <x v="0"/>
    <x v="8"/>
    <n v="3074"/>
    <n v="371"/>
    <n v="348"/>
    <n v="24104"/>
    <n v="57803"/>
    <n v="213"/>
    <x v="2"/>
    <s v="Wrapped2024"/>
    <n v="0.15735977431131762"/>
    <n v="30"/>
  </r>
  <r>
    <s v="SP290"/>
    <x v="0"/>
    <d v="2024-08-13T00:00:00"/>
    <x v="1"/>
    <x v="2"/>
    <n v="3418"/>
    <n v="107"/>
    <n v="221"/>
    <n v="23927"/>
    <n v="26182"/>
    <n v="155"/>
    <x v="5"/>
    <s v="IndieWave"/>
    <n v="0.1565595352530614"/>
    <n v="31"/>
  </r>
  <r>
    <s v="SP161"/>
    <x v="1"/>
    <d v="2025-05-26T00:00:00"/>
    <x v="1"/>
    <x v="3"/>
    <n v="3086"/>
    <n v="148"/>
    <n v="310"/>
    <n v="22824"/>
    <n v="58103"/>
    <n v="275"/>
    <x v="7"/>
    <s v="IndieWave"/>
    <n v="0.1552751489660007"/>
    <n v="32"/>
  </r>
  <r>
    <s v="SP170"/>
    <x v="0"/>
    <d v="2024-11-23T00:00:00"/>
    <x v="1"/>
    <x v="1"/>
    <n v="4318"/>
    <n v="371"/>
    <n v="329"/>
    <n v="32347"/>
    <n v="68956"/>
    <n v="259"/>
    <x v="5"/>
    <s v="IndieWave"/>
    <n v="0.15513030574705536"/>
    <n v="33"/>
  </r>
  <r>
    <s v="SP254"/>
    <x v="0"/>
    <d v="2025-02-03T00:00:00"/>
    <x v="1"/>
    <x v="4"/>
    <n v="4995"/>
    <n v="231"/>
    <n v="94"/>
    <n v="34431"/>
    <n v="32560"/>
    <n v="262"/>
    <x v="2"/>
    <s v="ChillVibes"/>
    <n v="0.15451192239551567"/>
    <n v="34"/>
  </r>
  <r>
    <s v="SP020"/>
    <x v="1"/>
    <d v="2024-07-05T00:00:00"/>
    <x v="1"/>
    <x v="9"/>
    <n v="3753"/>
    <n v="411"/>
    <n v="308"/>
    <n v="29138"/>
    <n v="27678"/>
    <n v="90"/>
    <x v="7"/>
    <s v="IndieWave"/>
    <n v="0.15347655981879332"/>
    <n v="35"/>
  </r>
  <r>
    <s v="SP052"/>
    <x v="0"/>
    <d v="2024-09-04T00:00:00"/>
    <x v="0"/>
    <x v="1"/>
    <n v="2613"/>
    <n v="455"/>
    <n v="228"/>
    <n v="21645"/>
    <n v="61334"/>
    <n v="261"/>
    <x v="6"/>
    <s v="ChillVibes"/>
    <n v="0.15227535227535227"/>
    <n v="36"/>
  </r>
  <r>
    <s v="SP271"/>
    <x v="0"/>
    <d v="2025-02-05T00:00:00"/>
    <x v="0"/>
    <x v="3"/>
    <n v="3029"/>
    <n v="440"/>
    <n v="66"/>
    <n v="23815"/>
    <n v="47895"/>
    <n v="210"/>
    <x v="6"/>
    <s v="ChillVibes"/>
    <n v="0.14843585975225698"/>
    <n v="37"/>
  </r>
  <r>
    <s v="SP083"/>
    <x v="0"/>
    <d v="2025-01-03T00:00:00"/>
    <x v="0"/>
    <x v="0"/>
    <n v="4845"/>
    <n v="158"/>
    <n v="84"/>
    <n v="34578"/>
    <n v="51480"/>
    <n v="180"/>
    <x v="0"/>
    <s v="ChillVibes"/>
    <n v="0.1471166637746544"/>
    <n v="38"/>
  </r>
  <r>
    <s v="SP249"/>
    <x v="1"/>
    <d v="2024-03-06T00:00:00"/>
    <x v="1"/>
    <x v="4"/>
    <n v="3529"/>
    <n v="263"/>
    <n v="107"/>
    <n v="26570"/>
    <n v="19367"/>
    <n v="96"/>
    <x v="7"/>
    <s v="IndieWave"/>
    <n v="0.14674444862627023"/>
    <n v="39"/>
  </r>
  <r>
    <s v="SP046"/>
    <x v="1"/>
    <d v="2024-02-12T00:00:00"/>
    <x v="1"/>
    <x v="2"/>
    <n v="2923"/>
    <n v="330"/>
    <n v="250"/>
    <n v="23993"/>
    <n v="74590"/>
    <n v="92"/>
    <x v="7"/>
    <s v="IndieWave"/>
    <n v="0.14600091693410577"/>
    <n v="40"/>
  </r>
  <r>
    <s v="SP102"/>
    <x v="0"/>
    <d v="2024-10-26T00:00:00"/>
    <x v="1"/>
    <x v="3"/>
    <n v="3036"/>
    <n v="293"/>
    <n v="115"/>
    <n v="23776"/>
    <n v="46386"/>
    <n v="282"/>
    <x v="2"/>
    <s v="ChillVibes"/>
    <n v="0.14485195154777927"/>
    <n v="41"/>
  </r>
  <r>
    <s v="SP040"/>
    <x v="0"/>
    <d v="2025-06-10T00:00:00"/>
    <x v="1"/>
    <x v="2"/>
    <n v="3615"/>
    <n v="192"/>
    <n v="162"/>
    <n v="27492"/>
    <n v="35341"/>
    <n v="125"/>
    <x v="2"/>
    <s v="ChillVibes"/>
    <n v="0.14436927106067218"/>
    <n v="42"/>
  </r>
  <r>
    <s v="SP094"/>
    <x v="0"/>
    <d v="2024-11-13T00:00:00"/>
    <x v="0"/>
    <x v="7"/>
    <n v="4628"/>
    <n v="257"/>
    <n v="397"/>
    <n v="36686"/>
    <n v="54683"/>
    <n v="98"/>
    <x v="0"/>
    <s v="ChillVibes"/>
    <n v="0.1439786294499264"/>
    <n v="43"/>
  </r>
  <r>
    <s v="SP079"/>
    <x v="2"/>
    <d v="2024-01-13T00:00:00"/>
    <x v="2"/>
    <x v="1"/>
    <n v="4781"/>
    <n v="191"/>
    <n v="122"/>
    <n v="35535"/>
    <n v="50777"/>
    <n v="128"/>
    <x v="4"/>
    <s v="SummerBeats"/>
    <n v="0.14335162515829464"/>
    <n v="44"/>
  </r>
  <r>
    <s v="SP095"/>
    <x v="1"/>
    <d v="2024-03-22T00:00:00"/>
    <x v="0"/>
    <x v="3"/>
    <n v="2319"/>
    <n v="484"/>
    <n v="193"/>
    <n v="21202"/>
    <n v="18091"/>
    <n v="241"/>
    <x v="2"/>
    <s v="Wrapped2024"/>
    <n v="0.14130742382794076"/>
    <n v="45"/>
  </r>
  <r>
    <s v="SP018"/>
    <x v="1"/>
    <d v="2024-02-03T00:00:00"/>
    <x v="0"/>
    <x v="8"/>
    <n v="4281"/>
    <n v="101"/>
    <n v="163"/>
    <n v="32278"/>
    <n v="53382"/>
    <n v="235"/>
    <x v="2"/>
    <s v="Wrapped2024"/>
    <n v="0.1408079806679472"/>
    <n v="46"/>
  </r>
  <r>
    <s v="SP199"/>
    <x v="0"/>
    <d v="2024-07-11T00:00:00"/>
    <x v="0"/>
    <x v="0"/>
    <n v="4247"/>
    <n v="179"/>
    <n v="175"/>
    <n v="32991"/>
    <n v="70120"/>
    <n v="276"/>
    <x v="0"/>
    <s v="ChillVibes"/>
    <n v="0.13946227759085811"/>
    <n v="47"/>
  </r>
  <r>
    <s v="SP056"/>
    <x v="1"/>
    <d v="2025-02-19T00:00:00"/>
    <x v="0"/>
    <x v="5"/>
    <n v="2422"/>
    <n v="455"/>
    <n v="376"/>
    <n v="23428"/>
    <n v="46775"/>
    <n v="259"/>
    <x v="2"/>
    <s v="Wrapped2024"/>
    <n v="0.13885094758408742"/>
    <n v="48"/>
  </r>
  <r>
    <s v="SP109"/>
    <x v="1"/>
    <d v="2024-11-21T00:00:00"/>
    <x v="1"/>
    <x v="8"/>
    <n v="4581"/>
    <n v="181"/>
    <n v="112"/>
    <n v="35221"/>
    <n v="28797"/>
    <n v="164"/>
    <x v="0"/>
    <s v="ChillVibes"/>
    <n v="0.13838335084182732"/>
    <n v="49"/>
  </r>
  <r>
    <s v="SP096"/>
    <x v="0"/>
    <d v="2024-03-16T00:00:00"/>
    <x v="0"/>
    <x v="6"/>
    <n v="2895"/>
    <n v="292"/>
    <n v="90"/>
    <n v="24223"/>
    <n v="54626"/>
    <n v="114"/>
    <x v="0"/>
    <s v="ChillVibes"/>
    <n v="0.13528464682326713"/>
    <n v="50"/>
  </r>
  <r>
    <s v="SP078"/>
    <x v="0"/>
    <d v="2025-01-21T00:00:00"/>
    <x v="0"/>
    <x v="3"/>
    <n v="2494"/>
    <n v="494"/>
    <n v="55"/>
    <n v="22580"/>
    <n v="22214"/>
    <n v="109"/>
    <x v="1"/>
    <s v="ChillVibes"/>
    <n v="0.13476527900797167"/>
    <n v="51"/>
  </r>
  <r>
    <s v="SP242"/>
    <x v="0"/>
    <d v="2025-04-12T00:00:00"/>
    <x v="0"/>
    <x v="5"/>
    <n v="4315"/>
    <n v="208"/>
    <n v="273"/>
    <n v="35780"/>
    <n v="44349"/>
    <n v="133"/>
    <x v="6"/>
    <s v="ChillVibes"/>
    <n v="0.13404136389044158"/>
    <n v="52"/>
  </r>
  <r>
    <s v="SP001"/>
    <x v="1"/>
    <d v="2025-05-04T00:00:00"/>
    <x v="1"/>
    <x v="3"/>
    <n v="2414"/>
    <n v="245"/>
    <n v="137"/>
    <n v="21181"/>
    <n v="45292"/>
    <n v="133"/>
    <x v="0"/>
    <s v="ChillVibes"/>
    <n v="0.13200509890939993"/>
    <n v="53"/>
  </r>
  <r>
    <s v="SP005"/>
    <x v="2"/>
    <d v="2024-04-06T00:00:00"/>
    <x v="1"/>
    <x v="8"/>
    <n v="2748"/>
    <n v="145"/>
    <n v="315"/>
    <n v="24401"/>
    <n v="61182"/>
    <n v="200"/>
    <x v="3"/>
    <s v="IndieWave"/>
    <n v="0.1314700217204213"/>
    <n v="54"/>
  </r>
  <r>
    <s v="SP237"/>
    <x v="2"/>
    <d v="2024-01-14T00:00:00"/>
    <x v="1"/>
    <x v="4"/>
    <n v="4502"/>
    <n v="238"/>
    <n v="386"/>
    <n v="39198"/>
    <n v="25050"/>
    <n v="297"/>
    <x v="3"/>
    <s v="IndieWave"/>
    <n v="0.13077197816215114"/>
    <n v="55"/>
  </r>
  <r>
    <s v="SP010"/>
    <x v="0"/>
    <d v="2024-12-04T00:00:00"/>
    <x v="1"/>
    <x v="6"/>
    <n v="2357"/>
    <n v="274"/>
    <n v="172"/>
    <n v="21566"/>
    <n v="66829"/>
    <n v="284"/>
    <x v="2"/>
    <s v="ChillVibes"/>
    <n v="0.12997310581470833"/>
    <n v="56"/>
  </r>
  <r>
    <s v="SP292"/>
    <x v="0"/>
    <d v="2024-11-03T00:00:00"/>
    <x v="0"/>
    <x v="2"/>
    <n v="3061"/>
    <n v="320"/>
    <n v="76"/>
    <n v="26640"/>
    <n v="24306"/>
    <n v="112"/>
    <x v="1"/>
    <s v="ChillVibes"/>
    <n v="0.12976726726726726"/>
    <n v="57"/>
  </r>
  <r>
    <s v="SP187"/>
    <x v="2"/>
    <d v="2025-05-18T00:00:00"/>
    <x v="2"/>
    <x v="6"/>
    <n v="4210"/>
    <n v="319"/>
    <n v="350"/>
    <n v="37762"/>
    <n v="55162"/>
    <n v="204"/>
    <x v="4"/>
    <s v="SummerBeats"/>
    <n v="0.12920396165457337"/>
    <n v="58"/>
  </r>
  <r>
    <s v="SP221"/>
    <x v="0"/>
    <d v="2025-05-09T00:00:00"/>
    <x v="0"/>
    <x v="8"/>
    <n v="2778"/>
    <n v="241"/>
    <n v="317"/>
    <n v="26247"/>
    <n v="20677"/>
    <n v="282"/>
    <x v="1"/>
    <s v="ChillVibes"/>
    <n v="0.1271002400274317"/>
    <n v="59"/>
  </r>
  <r>
    <s v="SP214"/>
    <x v="0"/>
    <d v="2024-10-09T00:00:00"/>
    <x v="1"/>
    <x v="6"/>
    <n v="2659"/>
    <n v="167"/>
    <n v="73"/>
    <n v="23090"/>
    <n v="25872"/>
    <n v="293"/>
    <x v="5"/>
    <s v="IndieWave"/>
    <n v="0.12555218709398008"/>
    <n v="60"/>
  </r>
  <r>
    <s v="SP218"/>
    <x v="0"/>
    <d v="2024-10-14T00:00:00"/>
    <x v="0"/>
    <x v="2"/>
    <n v="4303"/>
    <n v="306"/>
    <n v="302"/>
    <n v="39575"/>
    <n v="33762"/>
    <n v="265"/>
    <x v="6"/>
    <s v="ChillVibes"/>
    <n v="0.12409349336702463"/>
    <n v="61"/>
  </r>
  <r>
    <s v="SP227"/>
    <x v="2"/>
    <d v="2025-03-22T00:00:00"/>
    <x v="1"/>
    <x v="8"/>
    <n v="4308"/>
    <n v="171"/>
    <n v="106"/>
    <n v="36955"/>
    <n v="23949"/>
    <n v="294"/>
    <x v="3"/>
    <s v="IndieWave"/>
    <n v="0.12406981463942633"/>
    <n v="62"/>
  </r>
  <r>
    <s v="SP262"/>
    <x v="0"/>
    <d v="2024-11-30T00:00:00"/>
    <x v="0"/>
    <x v="2"/>
    <n v="4963"/>
    <n v="255"/>
    <n v="193"/>
    <n v="44386"/>
    <n v="28415"/>
    <n v="174"/>
    <x v="1"/>
    <s v="ChillVibes"/>
    <n v="0.12190780876853062"/>
    <n v="63"/>
  </r>
  <r>
    <s v="SP004"/>
    <x v="1"/>
    <d v="2024-12-03T00:00:00"/>
    <x v="1"/>
    <x v="6"/>
    <n v="3173"/>
    <n v="229"/>
    <n v="197"/>
    <n v="29604"/>
    <n v="21809"/>
    <n v="272"/>
    <x v="0"/>
    <s v="ChillVibes"/>
    <n v="0.1215714092690177"/>
    <n v="64"/>
  </r>
  <r>
    <s v="SP296"/>
    <x v="0"/>
    <d v="2025-03-20T00:00:00"/>
    <x v="0"/>
    <x v="9"/>
    <n v="3393"/>
    <n v="104"/>
    <n v="79"/>
    <n v="30025"/>
    <n v="21593"/>
    <n v="165"/>
    <x v="1"/>
    <s v="ChillVibes"/>
    <n v="0.1191007493755204"/>
    <n v="65"/>
  </r>
  <r>
    <s v="SP043"/>
    <x v="1"/>
    <d v="2025-02-14T00:00:00"/>
    <x v="1"/>
    <x v="7"/>
    <n v="4891"/>
    <n v="450"/>
    <n v="387"/>
    <n v="48746"/>
    <n v="37312"/>
    <n v="154"/>
    <x v="0"/>
    <s v="ChillVibes"/>
    <n v="0.11750707750379519"/>
    <n v="66"/>
  </r>
  <r>
    <s v="SP142"/>
    <x v="1"/>
    <d v="2024-12-21T00:00:00"/>
    <x v="0"/>
    <x v="1"/>
    <n v="4563"/>
    <n v="398"/>
    <n v="163"/>
    <n v="43679"/>
    <n v="48760"/>
    <n v="92"/>
    <x v="2"/>
    <s v="Wrapped2024"/>
    <n v="0.11731037798484398"/>
    <n v="67"/>
  </r>
  <r>
    <s v="SP266"/>
    <x v="1"/>
    <d v="2024-05-30T00:00:00"/>
    <x v="0"/>
    <x v="0"/>
    <n v="2448"/>
    <n v="464"/>
    <n v="98"/>
    <n v="25737"/>
    <n v="48545"/>
    <n v="246"/>
    <x v="2"/>
    <s v="Wrapped2024"/>
    <n v="0.11695224773672146"/>
    <n v="68"/>
  </r>
  <r>
    <s v="SP139"/>
    <x v="0"/>
    <d v="2025-03-09T00:00:00"/>
    <x v="1"/>
    <x v="9"/>
    <n v="2754"/>
    <n v="215"/>
    <n v="264"/>
    <n v="27762"/>
    <n v="70203"/>
    <n v="289"/>
    <x v="2"/>
    <s v="ChillVibes"/>
    <n v="0.11645414595490239"/>
    <n v="69"/>
  </r>
  <r>
    <s v="SP045"/>
    <x v="2"/>
    <d v="2024-07-14T00:00:00"/>
    <x v="1"/>
    <x v="9"/>
    <n v="3806"/>
    <n v="114"/>
    <n v="278"/>
    <n v="36148"/>
    <n v="24209"/>
    <n v="201"/>
    <x v="3"/>
    <s v="IndieWave"/>
    <n v="0.11613367267898639"/>
    <n v="70"/>
  </r>
  <r>
    <s v="SP145"/>
    <x v="0"/>
    <d v="2025-05-28T00:00:00"/>
    <x v="0"/>
    <x v="7"/>
    <n v="4287"/>
    <n v="273"/>
    <n v="122"/>
    <n v="40792"/>
    <n v="23878"/>
    <n v="277"/>
    <x v="1"/>
    <s v="ChillVibes"/>
    <n v="0.11477740733477153"/>
    <n v="71"/>
  </r>
  <r>
    <s v="SP286"/>
    <x v="1"/>
    <d v="2024-05-01T00:00:00"/>
    <x v="1"/>
    <x v="0"/>
    <n v="3359"/>
    <n v="137"/>
    <n v="387"/>
    <n v="33861"/>
    <n v="47257"/>
    <n v="198"/>
    <x v="7"/>
    <s v="IndieWave"/>
    <n v="0.11467469950680724"/>
    <n v="72"/>
  </r>
  <r>
    <s v="SP027"/>
    <x v="1"/>
    <d v="2024-11-29T00:00:00"/>
    <x v="1"/>
    <x v="4"/>
    <n v="2824"/>
    <n v="425"/>
    <n v="274"/>
    <n v="31004"/>
    <n v="53488"/>
    <n v="268"/>
    <x v="0"/>
    <s v="ChillVibes"/>
    <n v="0.11363049929041415"/>
    <n v="73"/>
  </r>
  <r>
    <s v="SP189"/>
    <x v="2"/>
    <d v="2025-02-20T00:00:00"/>
    <x v="2"/>
    <x v="0"/>
    <n v="4957"/>
    <n v="262"/>
    <n v="365"/>
    <n v="49199"/>
    <n v="40314"/>
    <n v="216"/>
    <x v="4"/>
    <s v="SummerBeats"/>
    <n v="0.11349824183418362"/>
    <n v="74"/>
  </r>
  <r>
    <s v="SP015"/>
    <x v="0"/>
    <d v="2024-05-06T00:00:00"/>
    <x v="1"/>
    <x v="9"/>
    <n v="3476"/>
    <n v="355"/>
    <n v="396"/>
    <n v="37492"/>
    <n v="27285"/>
    <n v="179"/>
    <x v="2"/>
    <s v="ChillVibes"/>
    <n v="0.11274405206444041"/>
    <n v="75"/>
  </r>
  <r>
    <s v="SP162"/>
    <x v="1"/>
    <d v="2024-11-14T00:00:00"/>
    <x v="1"/>
    <x v="8"/>
    <n v="2422"/>
    <n v="318"/>
    <n v="118"/>
    <n v="25386"/>
    <n v="20873"/>
    <n v="100"/>
    <x v="0"/>
    <s v="ChillVibes"/>
    <n v="0.11258173796580792"/>
    <n v="76"/>
  </r>
  <r>
    <s v="SP280"/>
    <x v="0"/>
    <d v="2024-09-28T00:00:00"/>
    <x v="0"/>
    <x v="6"/>
    <n v="4471"/>
    <n v="317"/>
    <n v="249"/>
    <n v="44862"/>
    <n v="33365"/>
    <n v="184"/>
    <x v="6"/>
    <s v="ChillVibes"/>
    <n v="0.1122776514644911"/>
    <n v="77"/>
  </r>
  <r>
    <s v="SP224"/>
    <x v="0"/>
    <d v="2024-12-10T00:00:00"/>
    <x v="1"/>
    <x v="5"/>
    <n v="4673"/>
    <n v="270"/>
    <n v="93"/>
    <n v="45260"/>
    <n v="57513"/>
    <n v="103"/>
    <x v="2"/>
    <s v="ChillVibes"/>
    <n v="0.11126822801590809"/>
    <n v="78"/>
  </r>
  <r>
    <s v="SP060"/>
    <x v="2"/>
    <d v="2024-04-16T00:00:00"/>
    <x v="1"/>
    <x v="3"/>
    <n v="4674"/>
    <n v="326"/>
    <n v="62"/>
    <n v="45503"/>
    <n v="46814"/>
    <n v="116"/>
    <x v="3"/>
    <s v="IndieWave"/>
    <n v="0.11124541239039185"/>
    <n v="79"/>
  </r>
  <r>
    <s v="SP295"/>
    <x v="1"/>
    <d v="2025-03-08T00:00:00"/>
    <x v="0"/>
    <x v="7"/>
    <n v="2244"/>
    <n v="392"/>
    <n v="231"/>
    <n v="25834"/>
    <n v="50906"/>
    <n v="165"/>
    <x v="2"/>
    <s v="Wrapped2024"/>
    <n v="0.1109777812185492"/>
    <n v="80"/>
  </r>
  <r>
    <s v="SP163"/>
    <x v="2"/>
    <d v="2024-08-09T00:00:00"/>
    <x v="2"/>
    <x v="5"/>
    <n v="3414"/>
    <n v="154"/>
    <n v="204"/>
    <n v="34146"/>
    <n v="44633"/>
    <n v="256"/>
    <x v="4"/>
    <s v="SummerBeats"/>
    <n v="0.11046681895390383"/>
    <n v="81"/>
  </r>
  <r>
    <s v="SP125"/>
    <x v="0"/>
    <d v="2024-11-06T00:00:00"/>
    <x v="1"/>
    <x v="5"/>
    <n v="2956"/>
    <n v="381"/>
    <n v="345"/>
    <n v="33347"/>
    <n v="22558"/>
    <n v="173"/>
    <x v="2"/>
    <s v="ChillVibes"/>
    <n v="0.11041472996071611"/>
    <n v="82"/>
  </r>
  <r>
    <s v="SP024"/>
    <x v="0"/>
    <d v="2024-10-18T00:00:00"/>
    <x v="1"/>
    <x v="1"/>
    <n v="2607"/>
    <n v="379"/>
    <n v="180"/>
    <n v="28712"/>
    <n v="61620"/>
    <n v="174"/>
    <x v="5"/>
    <s v="IndieWave"/>
    <n v="0.11026748397882419"/>
    <n v="83"/>
  </r>
  <r>
    <s v="SP232"/>
    <x v="2"/>
    <d v="2025-03-07T00:00:00"/>
    <x v="1"/>
    <x v="7"/>
    <n v="4310"/>
    <n v="284"/>
    <n v="306"/>
    <n v="44606"/>
    <n v="42604"/>
    <n v="290"/>
    <x v="3"/>
    <s v="IndieWave"/>
    <n v="0.10985069273191947"/>
    <n v="84"/>
  </r>
  <r>
    <s v="SP108"/>
    <x v="2"/>
    <d v="2024-09-07T00:00:00"/>
    <x v="2"/>
    <x v="8"/>
    <n v="3882"/>
    <n v="342"/>
    <n v="374"/>
    <n v="41991"/>
    <n v="48554"/>
    <n v="118"/>
    <x v="4"/>
    <s v="SummerBeats"/>
    <n v="0.10949965468790931"/>
    <n v="85"/>
  </r>
  <r>
    <s v="SP049"/>
    <x v="0"/>
    <d v="2024-08-29T00:00:00"/>
    <x v="0"/>
    <x v="0"/>
    <n v="4276"/>
    <n v="227"/>
    <n v="223"/>
    <n v="43443"/>
    <n v="41005"/>
    <n v="191"/>
    <x v="6"/>
    <s v="ChillVibes"/>
    <n v="0.1087862256289851"/>
    <n v="86"/>
  </r>
  <r>
    <s v="SP041"/>
    <x v="1"/>
    <d v="2024-04-19T00:00:00"/>
    <x v="1"/>
    <x v="1"/>
    <n v="4001"/>
    <n v="353"/>
    <n v="129"/>
    <n v="41265"/>
    <n v="37279"/>
    <n v="275"/>
    <x v="0"/>
    <s v="ChillVibes"/>
    <n v="0.10863928268508422"/>
    <n v="87"/>
  </r>
  <r>
    <s v="SP202"/>
    <x v="0"/>
    <d v="2024-01-11T00:00:00"/>
    <x v="0"/>
    <x v="6"/>
    <n v="2340"/>
    <n v="141"/>
    <n v="206"/>
    <n v="24916"/>
    <n v="30582"/>
    <n v="157"/>
    <x v="0"/>
    <s v="ChillVibes"/>
    <n v="0.10784235029699792"/>
    <n v="88"/>
  </r>
  <r>
    <s v="SP037"/>
    <x v="0"/>
    <d v="2025-05-27T00:00:00"/>
    <x v="0"/>
    <x v="2"/>
    <n v="4095"/>
    <n v="385"/>
    <n v="400"/>
    <n v="45300"/>
    <n v="31795"/>
    <n v="80"/>
    <x v="1"/>
    <s v="ChillVibes"/>
    <n v="0.10772626931567329"/>
    <n v="89"/>
  </r>
  <r>
    <s v="SP252"/>
    <x v="2"/>
    <d v="2024-10-26T00:00:00"/>
    <x v="1"/>
    <x v="1"/>
    <n v="4676"/>
    <n v="211"/>
    <n v="55"/>
    <n v="45917"/>
    <n v="73503"/>
    <n v="248"/>
    <x v="3"/>
    <s v="IndieWave"/>
    <n v="0.10762898272970794"/>
    <n v="90"/>
  </r>
  <r>
    <s v="SP195"/>
    <x v="2"/>
    <d v="2024-01-14T00:00:00"/>
    <x v="1"/>
    <x v="1"/>
    <n v="3634"/>
    <n v="280"/>
    <n v="399"/>
    <n v="40256"/>
    <n v="52605"/>
    <n v="213"/>
    <x v="3"/>
    <s v="IndieWave"/>
    <n v="0.10713930842607314"/>
    <n v="91"/>
  </r>
  <r>
    <s v="SP148"/>
    <x v="0"/>
    <d v="2025-02-08T00:00:00"/>
    <x v="0"/>
    <x v="9"/>
    <n v="4752"/>
    <n v="334"/>
    <n v="56"/>
    <n v="48017"/>
    <n v="55534"/>
    <n v="270"/>
    <x v="6"/>
    <s v="ChillVibes"/>
    <n v="0.10708707332819627"/>
    <n v="92"/>
  </r>
  <r>
    <s v="SP070"/>
    <x v="0"/>
    <d v="2025-01-05T00:00:00"/>
    <x v="1"/>
    <x v="6"/>
    <n v="4811"/>
    <n v="473"/>
    <n v="254"/>
    <n v="51964"/>
    <n v="68795"/>
    <n v="107"/>
    <x v="2"/>
    <s v="ChillVibes"/>
    <n v="0.10657378184897237"/>
    <n v="93"/>
  </r>
  <r>
    <s v="SP165"/>
    <x v="1"/>
    <d v="2024-05-08T00:00:00"/>
    <x v="0"/>
    <x v="8"/>
    <n v="2414"/>
    <n v="220"/>
    <n v="280"/>
    <n v="27355"/>
    <n v="50562"/>
    <n v="258"/>
    <x v="2"/>
    <s v="Wrapped2024"/>
    <n v="0.10652531529884847"/>
    <n v="94"/>
  </r>
  <r>
    <s v="SP057"/>
    <x v="1"/>
    <d v="2024-01-08T00:00:00"/>
    <x v="1"/>
    <x v="7"/>
    <n v="2683"/>
    <n v="405"/>
    <n v="223"/>
    <n v="31233"/>
    <n v="58106"/>
    <n v="291"/>
    <x v="7"/>
    <s v="IndieWave"/>
    <n v="0.10600966926007749"/>
    <n v="95"/>
  </r>
  <r>
    <s v="SP097"/>
    <x v="1"/>
    <d v="2024-01-26T00:00:00"/>
    <x v="1"/>
    <x v="4"/>
    <n v="3878"/>
    <n v="431"/>
    <n v="97"/>
    <n v="41763"/>
    <n v="29729"/>
    <n v="191"/>
    <x v="7"/>
    <s v="IndieWave"/>
    <n v="0.10550008380623997"/>
    <n v="96"/>
  </r>
  <r>
    <s v="SP240"/>
    <x v="2"/>
    <d v="2024-08-29T00:00:00"/>
    <x v="1"/>
    <x v="6"/>
    <n v="4774"/>
    <n v="389"/>
    <n v="358"/>
    <n v="52346"/>
    <n v="30518"/>
    <n v="277"/>
    <x v="3"/>
    <s v="IndieWave"/>
    <n v="0.10547128720437092"/>
    <n v="97"/>
  </r>
  <r>
    <s v="SP288"/>
    <x v="0"/>
    <d v="2024-08-09T00:00:00"/>
    <x v="0"/>
    <x v="5"/>
    <n v="4877"/>
    <n v="442"/>
    <n v="236"/>
    <n v="52673"/>
    <n v="48241"/>
    <n v="114"/>
    <x v="6"/>
    <s v="ChillVibes"/>
    <n v="0.10546200140489435"/>
    <n v="98"/>
  </r>
  <r>
    <s v="SP128"/>
    <x v="1"/>
    <d v="2024-02-22T00:00:00"/>
    <x v="1"/>
    <x v="1"/>
    <n v="1902"/>
    <n v="394"/>
    <n v="279"/>
    <n v="24615"/>
    <n v="51330"/>
    <n v="176"/>
    <x v="0"/>
    <s v="ChillVibes"/>
    <n v="0.10461100954702417"/>
    <n v="99"/>
  </r>
  <r>
    <s v="SP155"/>
    <x v="1"/>
    <d v="2024-04-25T00:00:00"/>
    <x v="1"/>
    <x v="8"/>
    <n v="3563"/>
    <n v="483"/>
    <n v="227"/>
    <n v="41085"/>
    <n v="26393"/>
    <n v="236"/>
    <x v="0"/>
    <s v="ChillVibes"/>
    <n v="0.10400389436534015"/>
    <n v="100"/>
  </r>
  <r>
    <s v="SP030"/>
    <x v="0"/>
    <d v="2025-04-26T00:00:00"/>
    <x v="1"/>
    <x v="3"/>
    <n v="2411"/>
    <n v="194"/>
    <n v="168"/>
    <n v="26665"/>
    <n v="71699"/>
    <n v="197"/>
    <x v="2"/>
    <s v="ChillVibes"/>
    <n v="0.10399399962497656"/>
    <n v="101"/>
  </r>
  <r>
    <s v="SP289"/>
    <x v="1"/>
    <d v="2025-01-21T00:00:00"/>
    <x v="0"/>
    <x v="1"/>
    <n v="4918"/>
    <n v="440"/>
    <n v="149"/>
    <n v="53269"/>
    <n v="64370"/>
    <n v="269"/>
    <x v="2"/>
    <s v="Wrapped2024"/>
    <n v="0.10338095327488783"/>
    <n v="102"/>
  </r>
  <r>
    <s v="SP174"/>
    <x v="2"/>
    <d v="2025-04-02T00:00:00"/>
    <x v="1"/>
    <x v="6"/>
    <n v="4598"/>
    <n v="455"/>
    <n v="378"/>
    <n v="52952"/>
    <n v="58504"/>
    <n v="269"/>
    <x v="3"/>
    <s v="IndieWave"/>
    <n v="0.10256458679558846"/>
    <n v="103"/>
  </r>
  <r>
    <s v="SP051"/>
    <x v="2"/>
    <d v="2024-05-13T00:00:00"/>
    <x v="2"/>
    <x v="2"/>
    <n v="4161"/>
    <n v="481"/>
    <n v="61"/>
    <n v="45884"/>
    <n v="48955"/>
    <n v="215"/>
    <x v="4"/>
    <s v="SummerBeats"/>
    <n v="0.10249760265016128"/>
    <n v="104"/>
  </r>
  <r>
    <s v="SP191"/>
    <x v="2"/>
    <d v="2024-02-24T00:00:00"/>
    <x v="2"/>
    <x v="3"/>
    <n v="4221"/>
    <n v="307"/>
    <n v="58"/>
    <n v="45080"/>
    <n v="37214"/>
    <n v="240"/>
    <x v="4"/>
    <s v="SummerBeats"/>
    <n v="0.10173025732031943"/>
    <n v="105"/>
  </r>
  <r>
    <s v="SP168"/>
    <x v="1"/>
    <d v="2024-04-03T00:00:00"/>
    <x v="1"/>
    <x v="7"/>
    <n v="2762"/>
    <n v="339"/>
    <n v="323"/>
    <n v="33757"/>
    <n v="68511"/>
    <n v="121"/>
    <x v="0"/>
    <s v="ChillVibes"/>
    <n v="0.10143081434961637"/>
    <n v="106"/>
  </r>
  <r>
    <s v="SP100"/>
    <x v="1"/>
    <d v="2024-07-21T00:00:00"/>
    <x v="1"/>
    <x v="3"/>
    <n v="3004"/>
    <n v="415"/>
    <n v="218"/>
    <n v="36090"/>
    <n v="37073"/>
    <n v="181"/>
    <x v="7"/>
    <s v="IndieWave"/>
    <n v="0.10077583818232197"/>
    <n v="107"/>
  </r>
  <r>
    <s v="SP173"/>
    <x v="1"/>
    <d v="2024-06-04T00:00:00"/>
    <x v="1"/>
    <x v="0"/>
    <n v="3948"/>
    <n v="151"/>
    <n v="249"/>
    <n v="43147"/>
    <n v="63136"/>
    <n v="230"/>
    <x v="7"/>
    <s v="IndieWave"/>
    <n v="0.10077178019329269"/>
    <n v="108"/>
  </r>
  <r>
    <s v="SP089"/>
    <x v="1"/>
    <d v="2024-12-04T00:00:00"/>
    <x v="1"/>
    <x v="6"/>
    <n v="2601"/>
    <n v="336"/>
    <n v="260"/>
    <n v="32368"/>
    <n v="49028"/>
    <n v="120"/>
    <x v="0"/>
    <s v="ChillVibes"/>
    <n v="9.8770390509144837E-2"/>
    <n v="109"/>
  </r>
  <r>
    <s v="SP281"/>
    <x v="1"/>
    <d v="2024-01-07T00:00:00"/>
    <x v="1"/>
    <x v="7"/>
    <n v="4931"/>
    <n v="469"/>
    <n v="193"/>
    <n v="56701"/>
    <n v="69437"/>
    <n v="291"/>
    <x v="0"/>
    <s v="ChillVibes"/>
    <n v="9.8640235621946709E-2"/>
    <n v="110"/>
  </r>
  <r>
    <s v="SP188"/>
    <x v="1"/>
    <d v="2025-06-06T00:00:00"/>
    <x v="1"/>
    <x v="6"/>
    <n v="3987"/>
    <n v="171"/>
    <n v="274"/>
    <n v="45122"/>
    <n v="65431"/>
    <n v="168"/>
    <x v="7"/>
    <s v="IndieWave"/>
    <n v="9.8222596516111871E-2"/>
    <n v="111"/>
  </r>
  <r>
    <s v="SP243"/>
    <x v="0"/>
    <d v="2024-12-10T00:00:00"/>
    <x v="0"/>
    <x v="6"/>
    <n v="2267"/>
    <n v="230"/>
    <n v="243"/>
    <n v="27904"/>
    <n v="69771"/>
    <n v="255"/>
    <x v="6"/>
    <s v="ChillVibes"/>
    <n v="9.8193807339449546E-2"/>
    <n v="112"/>
  </r>
  <r>
    <s v="SP047"/>
    <x v="2"/>
    <d v="2024-03-14T00:00:00"/>
    <x v="2"/>
    <x v="5"/>
    <n v="3361"/>
    <n v="188"/>
    <n v="358"/>
    <n v="39838"/>
    <n v="24536"/>
    <n v="120"/>
    <x v="4"/>
    <s v="SummerBeats"/>
    <n v="9.8072192379135503E-2"/>
    <n v="113"/>
  </r>
  <r>
    <s v="SP171"/>
    <x v="1"/>
    <d v="2024-09-01T00:00:00"/>
    <x v="0"/>
    <x v="6"/>
    <n v="2335"/>
    <n v="150"/>
    <n v="75"/>
    <n v="26114"/>
    <n v="57549"/>
    <n v="135"/>
    <x v="2"/>
    <s v="Wrapped2024"/>
    <n v="9.8031707130274953E-2"/>
    <n v="114"/>
  </r>
  <r>
    <s v="SP204"/>
    <x v="0"/>
    <d v="2024-12-30T00:00:00"/>
    <x v="1"/>
    <x v="0"/>
    <n v="4214"/>
    <n v="286"/>
    <n v="127"/>
    <n v="47293"/>
    <n v="27184"/>
    <n v="232"/>
    <x v="2"/>
    <s v="ChillVibes"/>
    <n v="9.7836889180216949E-2"/>
    <n v="115"/>
  </r>
  <r>
    <s v="SP035"/>
    <x v="0"/>
    <d v="2025-05-08T00:00:00"/>
    <x v="0"/>
    <x v="9"/>
    <n v="3316"/>
    <n v="332"/>
    <n v="268"/>
    <n v="40095"/>
    <n v="36913"/>
    <n v="265"/>
    <x v="1"/>
    <s v="ChillVibes"/>
    <n v="9.7668038408779148E-2"/>
    <n v="116"/>
  </r>
  <r>
    <s v="SP135"/>
    <x v="0"/>
    <d v="2024-10-04T00:00:00"/>
    <x v="0"/>
    <x v="2"/>
    <n v="2870"/>
    <n v="380"/>
    <n v="393"/>
    <n v="37621"/>
    <n v="71794"/>
    <n v="127"/>
    <x v="1"/>
    <s v="ChillVibes"/>
    <n v="9.6834214933149046E-2"/>
    <n v="117"/>
  </r>
  <r>
    <s v="SP077"/>
    <x v="0"/>
    <d v="2025-05-28T00:00:00"/>
    <x v="1"/>
    <x v="5"/>
    <n v="2418"/>
    <n v="161"/>
    <n v="360"/>
    <n v="30589"/>
    <n v="41383"/>
    <n v="88"/>
    <x v="2"/>
    <s v="ChillVibes"/>
    <n v="9.6080290300434801E-2"/>
    <n v="118"/>
  </r>
  <r>
    <s v="SP054"/>
    <x v="1"/>
    <d v="2025-03-06T00:00:00"/>
    <x v="1"/>
    <x v="0"/>
    <n v="4851"/>
    <n v="460"/>
    <n v="212"/>
    <n v="58075"/>
    <n v="59574"/>
    <n v="239"/>
    <x v="7"/>
    <s v="IndieWave"/>
    <n v="9.5101162290142052E-2"/>
    <n v="119"/>
  </r>
  <r>
    <s v="SP150"/>
    <x v="0"/>
    <d v="2024-05-30T00:00:00"/>
    <x v="0"/>
    <x v="9"/>
    <n v="2311"/>
    <n v="207"/>
    <n v="363"/>
    <n v="30349"/>
    <n v="32925"/>
    <n v="88"/>
    <x v="1"/>
    <s v="ChillVibes"/>
    <n v="9.4928992718046723E-2"/>
    <n v="120"/>
  </r>
  <r>
    <s v="SP098"/>
    <x v="0"/>
    <d v="2024-03-15T00:00:00"/>
    <x v="0"/>
    <x v="0"/>
    <n v="4969"/>
    <n v="433"/>
    <n v="237"/>
    <n v="59552"/>
    <n v="23885"/>
    <n v="157"/>
    <x v="6"/>
    <s v="ChillVibes"/>
    <n v="9.4690354648038683E-2"/>
    <n v="121"/>
  </r>
  <r>
    <s v="SP217"/>
    <x v="1"/>
    <d v="2025-05-31T00:00:00"/>
    <x v="1"/>
    <x v="4"/>
    <n v="2169"/>
    <n v="240"/>
    <n v="57"/>
    <n v="26109"/>
    <n v="46667"/>
    <n v="133"/>
    <x v="0"/>
    <s v="ChillVibes"/>
    <n v="9.4450189589796618E-2"/>
    <n v="122"/>
  </r>
  <r>
    <s v="SP300"/>
    <x v="1"/>
    <d v="2024-02-07T00:00:00"/>
    <x v="1"/>
    <x v="8"/>
    <n v="1883"/>
    <n v="432"/>
    <n v="397"/>
    <n v="28759"/>
    <n v="18691"/>
    <n v="270"/>
    <x v="0"/>
    <s v="ChillVibes"/>
    <n v="9.4300914496331587E-2"/>
    <n v="123"/>
  </r>
  <r>
    <s v="SP190"/>
    <x v="1"/>
    <d v="2025-01-16T00:00:00"/>
    <x v="1"/>
    <x v="8"/>
    <n v="2605"/>
    <n v="282"/>
    <n v="148"/>
    <n v="32201"/>
    <n v="49583"/>
    <n v="241"/>
    <x v="0"/>
    <s v="ChillVibes"/>
    <n v="9.4251731312692155E-2"/>
    <n v="124"/>
  </r>
  <r>
    <s v="SP275"/>
    <x v="1"/>
    <d v="2024-02-19T00:00:00"/>
    <x v="1"/>
    <x v="6"/>
    <n v="4752"/>
    <n v="449"/>
    <n v="309"/>
    <n v="58530"/>
    <n v="26630"/>
    <n v="234"/>
    <x v="7"/>
    <s v="IndieWave"/>
    <n v="9.4139757389372969E-2"/>
    <n v="125"/>
  </r>
  <r>
    <s v="SP121"/>
    <x v="1"/>
    <d v="2025-04-30T00:00:00"/>
    <x v="0"/>
    <x v="1"/>
    <n v="3916"/>
    <n v="459"/>
    <n v="229"/>
    <n v="48989"/>
    <n v="39768"/>
    <n v="200"/>
    <x v="2"/>
    <s v="Wrapped2024"/>
    <n v="9.3980281287635997E-2"/>
    <n v="126"/>
  </r>
  <r>
    <s v="SP016"/>
    <x v="0"/>
    <d v="2024-12-29T00:00:00"/>
    <x v="0"/>
    <x v="1"/>
    <n v="4049"/>
    <n v="377"/>
    <n v="94"/>
    <n v="48182"/>
    <n v="42875"/>
    <n v="172"/>
    <x v="1"/>
    <s v="ChillVibes"/>
    <n v="9.3810966751068869E-2"/>
    <n v="127"/>
  </r>
  <r>
    <s v="SP042"/>
    <x v="1"/>
    <d v="2025-01-26T00:00:00"/>
    <x v="0"/>
    <x v="4"/>
    <n v="3451"/>
    <n v="363"/>
    <n v="393"/>
    <n v="44853"/>
    <n v="69032"/>
    <n v="211"/>
    <x v="2"/>
    <s v="Wrapped2024"/>
    <n v="9.379528682585335E-2"/>
    <n v="128"/>
  </r>
  <r>
    <s v="SP269"/>
    <x v="2"/>
    <d v="2024-06-21T00:00:00"/>
    <x v="2"/>
    <x v="8"/>
    <n v="4621"/>
    <n v="374"/>
    <n v="298"/>
    <n v="56979"/>
    <n v="24098"/>
    <n v="205"/>
    <x v="4"/>
    <s v="SummerBeats"/>
    <n v="9.2893873181347508E-2"/>
    <n v="129"/>
  </r>
  <r>
    <s v="SP245"/>
    <x v="0"/>
    <d v="2025-01-09T00:00:00"/>
    <x v="0"/>
    <x v="9"/>
    <n v="3817"/>
    <n v="284"/>
    <n v="204"/>
    <n v="46434"/>
    <n v="53396"/>
    <n v="104"/>
    <x v="1"/>
    <s v="ChillVibes"/>
    <n v="9.2712236723090841E-2"/>
    <n v="130"/>
  </r>
  <r>
    <s v="SP143"/>
    <x v="1"/>
    <d v="2024-06-17T00:00:00"/>
    <x v="1"/>
    <x v="3"/>
    <n v="4283"/>
    <n v="471"/>
    <n v="156"/>
    <n v="53004"/>
    <n v="25678"/>
    <n v="105"/>
    <x v="7"/>
    <s v="IndieWave"/>
    <n v="9.2634518149573616E-2"/>
    <n v="131"/>
  </r>
  <r>
    <s v="SP132"/>
    <x v="0"/>
    <d v="2024-09-28T00:00:00"/>
    <x v="1"/>
    <x v="4"/>
    <n v="4006"/>
    <n v="420"/>
    <n v="194"/>
    <n v="49964"/>
    <n v="20685"/>
    <n v="148"/>
    <x v="2"/>
    <s v="ChillVibes"/>
    <n v="9.2466575934672959E-2"/>
    <n v="132"/>
  </r>
  <r>
    <s v="SP152"/>
    <x v="1"/>
    <d v="2024-09-27T00:00:00"/>
    <x v="1"/>
    <x v="3"/>
    <n v="3118"/>
    <n v="116"/>
    <n v="195"/>
    <n v="37100"/>
    <n v="62629"/>
    <n v="272"/>
    <x v="7"/>
    <s v="IndieWave"/>
    <n v="9.2425876010781671E-2"/>
    <n v="133"/>
  </r>
  <r>
    <s v="SP166"/>
    <x v="1"/>
    <d v="2024-04-05T00:00:00"/>
    <x v="1"/>
    <x v="1"/>
    <n v="4383"/>
    <n v="352"/>
    <n v="176"/>
    <n v="53239"/>
    <n v="34168"/>
    <n v="288"/>
    <x v="7"/>
    <s v="IndieWave"/>
    <n v="9.2244407295403744E-2"/>
    <n v="134"/>
  </r>
  <r>
    <s v="SP064"/>
    <x v="0"/>
    <d v="2025-01-22T00:00:00"/>
    <x v="0"/>
    <x v="1"/>
    <n v="4478"/>
    <n v="101"/>
    <n v="121"/>
    <n v="51035"/>
    <n v="58207"/>
    <n v="205"/>
    <x v="1"/>
    <s v="ChillVibes"/>
    <n v="9.2093661212893113E-2"/>
    <n v="135"/>
  </r>
  <r>
    <s v="SP229"/>
    <x v="2"/>
    <d v="2024-02-24T00:00:00"/>
    <x v="1"/>
    <x v="8"/>
    <n v="4653"/>
    <n v="226"/>
    <n v="349"/>
    <n v="56876"/>
    <n v="28452"/>
    <n v="257"/>
    <x v="3"/>
    <s v="IndieWave"/>
    <n v="9.191926295801392E-2"/>
    <n v="136"/>
  </r>
  <r>
    <s v="SP265"/>
    <x v="0"/>
    <d v="2025-06-17T00:00:00"/>
    <x v="0"/>
    <x v="2"/>
    <n v="4341"/>
    <n v="141"/>
    <n v="63"/>
    <n v="50081"/>
    <n v="27507"/>
    <n v="221"/>
    <x v="6"/>
    <s v="ChillVibes"/>
    <n v="9.0752980172121162E-2"/>
    <n v="137"/>
  </r>
  <r>
    <s v="SP066"/>
    <x v="1"/>
    <d v="2025-04-16T00:00:00"/>
    <x v="1"/>
    <x v="6"/>
    <n v="4836"/>
    <n v="331"/>
    <n v="140"/>
    <n v="58792"/>
    <n v="47711"/>
    <n v="227"/>
    <x v="0"/>
    <s v="ChillVibes"/>
    <n v="9.0267383317458164E-2"/>
    <n v="138"/>
  </r>
  <r>
    <s v="SP192"/>
    <x v="0"/>
    <d v="2024-09-16T00:00:00"/>
    <x v="0"/>
    <x v="4"/>
    <n v="4422"/>
    <n v="434"/>
    <n v="156"/>
    <n v="56165"/>
    <n v="52431"/>
    <n v="173"/>
    <x v="6"/>
    <s v="ChillVibes"/>
    <n v="8.9237069349238848E-2"/>
    <n v="139"/>
  </r>
  <r>
    <s v="SP104"/>
    <x v="0"/>
    <d v="2024-05-01T00:00:00"/>
    <x v="0"/>
    <x v="4"/>
    <n v="2587"/>
    <n v="447"/>
    <n v="183"/>
    <n v="36266"/>
    <n v="32877"/>
    <n v="132"/>
    <x v="6"/>
    <s v="ChillVibes"/>
    <n v="8.8705674736667947E-2"/>
    <n v="140"/>
  </r>
  <r>
    <s v="SP058"/>
    <x v="2"/>
    <d v="2024-07-17T00:00:00"/>
    <x v="1"/>
    <x v="7"/>
    <n v="3135"/>
    <n v="110"/>
    <n v="215"/>
    <n v="39192"/>
    <n v="24744"/>
    <n v="177"/>
    <x v="3"/>
    <s v="IndieWave"/>
    <n v="8.8283323127168814E-2"/>
    <n v="141"/>
  </r>
  <r>
    <s v="SP081"/>
    <x v="0"/>
    <d v="2025-03-07T00:00:00"/>
    <x v="1"/>
    <x v="0"/>
    <n v="4234"/>
    <n v="486"/>
    <n v="276"/>
    <n v="56623"/>
    <n v="41343"/>
    <n v="184"/>
    <x v="5"/>
    <s v="IndieWave"/>
    <n v="8.8232696960599044E-2"/>
    <n v="142"/>
  </r>
  <r>
    <s v="SP061"/>
    <x v="2"/>
    <d v="2024-01-01T00:00:00"/>
    <x v="2"/>
    <x v="2"/>
    <n v="3437"/>
    <n v="129"/>
    <n v="359"/>
    <n v="44558"/>
    <n v="30854"/>
    <n v="171"/>
    <x v="4"/>
    <s v="SummerBeats"/>
    <n v="8.8087436599488311E-2"/>
    <n v="143"/>
  </r>
  <r>
    <s v="SP008"/>
    <x v="0"/>
    <d v="2024-05-09T00:00:00"/>
    <x v="0"/>
    <x v="6"/>
    <n v="1428"/>
    <n v="347"/>
    <n v="67"/>
    <n v="21148"/>
    <n v="19712"/>
    <n v="120"/>
    <x v="6"/>
    <s v="ChillVibes"/>
    <n v="8.7100435029317191E-2"/>
    <n v="144"/>
  </r>
  <r>
    <s v="SP002"/>
    <x v="1"/>
    <d v="2025-02-01T00:00:00"/>
    <x v="1"/>
    <x v="2"/>
    <n v="1934"/>
    <n v="210"/>
    <n v="393"/>
    <n v="29129"/>
    <n v="73287"/>
    <n v="273"/>
    <x v="7"/>
    <s v="IndieWave"/>
    <n v="8.7095334546328396E-2"/>
    <n v="145"/>
  </r>
  <r>
    <s v="SP140"/>
    <x v="0"/>
    <d v="2024-08-27T00:00:00"/>
    <x v="0"/>
    <x v="1"/>
    <n v="1856"/>
    <n v="357"/>
    <n v="348"/>
    <n v="29428"/>
    <n v="70206"/>
    <n v="236"/>
    <x v="1"/>
    <s v="ChillVibes"/>
    <n v="8.702596166915863E-2"/>
    <n v="146"/>
  </r>
  <r>
    <s v="SP115"/>
    <x v="1"/>
    <d v="2025-04-15T00:00:00"/>
    <x v="1"/>
    <x v="2"/>
    <n v="4177"/>
    <n v="489"/>
    <n v="331"/>
    <n v="57451"/>
    <n v="73793"/>
    <n v="251"/>
    <x v="7"/>
    <s v="IndieWave"/>
    <n v="8.6978468608031198E-2"/>
    <n v="147"/>
  </r>
  <r>
    <s v="SP222"/>
    <x v="0"/>
    <d v="2025-06-21T00:00:00"/>
    <x v="1"/>
    <x v="2"/>
    <n v="3611"/>
    <n v="127"/>
    <n v="139"/>
    <n v="44768"/>
    <n v="29435"/>
    <n v="178"/>
    <x v="2"/>
    <s v="ChillVibes"/>
    <n v="8.6602037169406718E-2"/>
    <n v="148"/>
  </r>
  <r>
    <s v="SP107"/>
    <x v="0"/>
    <d v="2025-01-13T00:00:00"/>
    <x v="1"/>
    <x v="8"/>
    <n v="4090"/>
    <n v="209"/>
    <n v="278"/>
    <n v="52853"/>
    <n v="57084"/>
    <n v="102"/>
    <x v="5"/>
    <s v="IndieWave"/>
    <n v="8.6598679355949518E-2"/>
    <n v="149"/>
  </r>
  <r>
    <s v="SP244"/>
    <x v="2"/>
    <d v="2025-06-08T00:00:00"/>
    <x v="1"/>
    <x v="8"/>
    <n v="4375"/>
    <n v="303"/>
    <n v="294"/>
    <n v="57468"/>
    <n v="53397"/>
    <n v="159"/>
    <x v="3"/>
    <s v="IndieWave"/>
    <n v="8.6517714206166912E-2"/>
    <n v="150"/>
  </r>
  <r>
    <s v="SP283"/>
    <x v="1"/>
    <d v="2024-08-27T00:00:00"/>
    <x v="1"/>
    <x v="8"/>
    <n v="4197"/>
    <n v="359"/>
    <n v="280"/>
    <n v="56048"/>
    <n v="70930"/>
    <n v="295"/>
    <x v="7"/>
    <s v="IndieWave"/>
    <n v="8.628318584070796E-2"/>
    <n v="151"/>
  </r>
  <r>
    <s v="SP185"/>
    <x v="2"/>
    <d v="2025-04-22T00:00:00"/>
    <x v="2"/>
    <x v="1"/>
    <n v="2733"/>
    <n v="297"/>
    <n v="235"/>
    <n v="37980"/>
    <n v="33058"/>
    <n v="219"/>
    <x v="4"/>
    <s v="SummerBeats"/>
    <n v="8.5966298051606105E-2"/>
    <n v="152"/>
  </r>
  <r>
    <s v="SP257"/>
    <x v="0"/>
    <d v="2024-06-08T00:00:00"/>
    <x v="0"/>
    <x v="7"/>
    <n v="3413"/>
    <n v="326"/>
    <n v="86"/>
    <n v="44680"/>
    <n v="52719"/>
    <n v="272"/>
    <x v="6"/>
    <s v="ChillVibes"/>
    <n v="8.5608773500447627E-2"/>
    <n v="153"/>
  </r>
  <r>
    <s v="SP124"/>
    <x v="0"/>
    <d v="2024-05-09T00:00:00"/>
    <x v="0"/>
    <x v="1"/>
    <n v="3277"/>
    <n v="423"/>
    <n v="259"/>
    <n v="46328"/>
    <n v="44293"/>
    <n v="299"/>
    <x v="0"/>
    <s v="ChillVibes"/>
    <n v="8.5455879813503707E-2"/>
    <n v="154"/>
  </r>
  <r>
    <s v="SP014"/>
    <x v="0"/>
    <d v="2024-10-08T00:00:00"/>
    <x v="1"/>
    <x v="5"/>
    <n v="2460"/>
    <n v="409"/>
    <n v="253"/>
    <n v="36702"/>
    <n v="46122"/>
    <n v="264"/>
    <x v="2"/>
    <s v="ChillVibes"/>
    <n v="8.5063484278785892E-2"/>
    <n v="155"/>
  </r>
  <r>
    <s v="SP287"/>
    <x v="2"/>
    <d v="2024-06-25T00:00:00"/>
    <x v="1"/>
    <x v="9"/>
    <n v="2172"/>
    <n v="338"/>
    <n v="70"/>
    <n v="30515"/>
    <n v="57853"/>
    <n v="156"/>
    <x v="3"/>
    <s v="IndieWave"/>
    <n v="8.4548582664263475E-2"/>
    <n v="156"/>
  </r>
  <r>
    <s v="SP169"/>
    <x v="2"/>
    <d v="2025-01-03T00:00:00"/>
    <x v="1"/>
    <x v="1"/>
    <n v="3782"/>
    <n v="484"/>
    <n v="144"/>
    <n v="52172"/>
    <n v="59386"/>
    <n v="175"/>
    <x v="3"/>
    <s v="IndieWave"/>
    <n v="8.4528099363643333E-2"/>
    <n v="157"/>
  </r>
  <r>
    <s v="SP011"/>
    <x v="0"/>
    <d v="2024-03-06T00:00:00"/>
    <x v="1"/>
    <x v="3"/>
    <n v="1971"/>
    <n v="370"/>
    <n v="306"/>
    <n v="31316"/>
    <n v="27897"/>
    <n v="88"/>
    <x v="5"/>
    <s v="IndieWave"/>
    <n v="8.4525482181632389E-2"/>
    <n v="158"/>
  </r>
  <r>
    <s v="SP176"/>
    <x v="1"/>
    <d v="2024-07-02T00:00:00"/>
    <x v="1"/>
    <x v="7"/>
    <n v="3469"/>
    <n v="371"/>
    <n v="76"/>
    <n v="46493"/>
    <n v="26906"/>
    <n v="150"/>
    <x v="0"/>
    <s v="ChillVibes"/>
    <n v="8.4227733207149463E-2"/>
    <n v="159"/>
  </r>
  <r>
    <s v="SP284"/>
    <x v="1"/>
    <d v="2024-10-24T00:00:00"/>
    <x v="0"/>
    <x v="7"/>
    <n v="1914"/>
    <n v="255"/>
    <n v="156"/>
    <n v="27660"/>
    <n v="47776"/>
    <n v="111"/>
    <x v="2"/>
    <s v="Wrapped2024"/>
    <n v="8.4056399132321047E-2"/>
    <n v="160"/>
  </r>
  <r>
    <s v="SP277"/>
    <x v="1"/>
    <d v="2025-02-03T00:00:00"/>
    <x v="0"/>
    <x v="1"/>
    <n v="1205"/>
    <n v="486"/>
    <n v="269"/>
    <n v="23341"/>
    <n v="42411"/>
    <n v="184"/>
    <x v="2"/>
    <s v="Wrapped2024"/>
    <n v="8.3972409065592737E-2"/>
    <n v="161"/>
  </r>
  <r>
    <s v="SP009"/>
    <x v="0"/>
    <d v="2025-06-15T00:00:00"/>
    <x v="1"/>
    <x v="7"/>
    <n v="4432"/>
    <n v="223"/>
    <n v="299"/>
    <n v="59016"/>
    <n v="21742"/>
    <n v="171"/>
    <x v="2"/>
    <s v="ChillVibes"/>
    <n v="8.3943337400027115E-2"/>
    <n v="162"/>
  </r>
  <r>
    <s v="SP260"/>
    <x v="0"/>
    <d v="2025-01-05T00:00:00"/>
    <x v="0"/>
    <x v="2"/>
    <n v="3341"/>
    <n v="154"/>
    <n v="123"/>
    <n v="43369"/>
    <n v="49035"/>
    <n v="128"/>
    <x v="1"/>
    <s v="ChillVibes"/>
    <n v="8.3423643616408028E-2"/>
    <n v="163"/>
  </r>
  <r>
    <s v="SP159"/>
    <x v="1"/>
    <d v="2024-04-12T00:00:00"/>
    <x v="0"/>
    <x v="0"/>
    <n v="1558"/>
    <n v="352"/>
    <n v="202"/>
    <n v="25405"/>
    <n v="69941"/>
    <n v="219"/>
    <x v="2"/>
    <s v="Wrapped2024"/>
    <n v="8.3133241487896081E-2"/>
    <n v="164"/>
  </r>
  <r>
    <s v="SP101"/>
    <x v="0"/>
    <d v="2024-10-12T00:00:00"/>
    <x v="1"/>
    <x v="0"/>
    <n v="3169"/>
    <n v="386"/>
    <n v="175"/>
    <n v="45012"/>
    <n v="38508"/>
    <n v="218"/>
    <x v="2"/>
    <s v="ChillVibes"/>
    <n v="8.2866791077934779E-2"/>
    <n v="165"/>
  </r>
  <r>
    <s v="SP215"/>
    <x v="2"/>
    <d v="2025-01-15T00:00:00"/>
    <x v="1"/>
    <x v="9"/>
    <n v="2599"/>
    <n v="324"/>
    <n v="182"/>
    <n v="37525"/>
    <n v="37216"/>
    <n v="186"/>
    <x v="3"/>
    <s v="IndieWave"/>
    <n v="8.2744836775483013E-2"/>
    <n v="166"/>
  </r>
  <r>
    <s v="SP203"/>
    <x v="1"/>
    <d v="2024-10-06T00:00:00"/>
    <x v="1"/>
    <x v="7"/>
    <n v="2080"/>
    <n v="389"/>
    <n v="92"/>
    <n v="30971"/>
    <n v="25347"/>
    <n v="111"/>
    <x v="7"/>
    <s v="IndieWave"/>
    <n v="8.2690258629040073E-2"/>
    <n v="167"/>
  </r>
  <r>
    <s v="SP153"/>
    <x v="0"/>
    <d v="2025-06-11T00:00:00"/>
    <x v="0"/>
    <x v="2"/>
    <n v="3805"/>
    <n v="453"/>
    <n v="63"/>
    <n v="52395"/>
    <n v="72934"/>
    <n v="87"/>
    <x v="6"/>
    <s v="ChillVibes"/>
    <n v="8.2469701307376658E-2"/>
    <n v="168"/>
  </r>
  <r>
    <s v="SP028"/>
    <x v="2"/>
    <d v="2024-03-05T00:00:00"/>
    <x v="2"/>
    <x v="2"/>
    <n v="3558"/>
    <n v="314"/>
    <n v="199"/>
    <n v="49612"/>
    <n v="53929"/>
    <n v="206"/>
    <x v="4"/>
    <s v="SummerBeats"/>
    <n v="8.205676046117874E-2"/>
    <n v="169"/>
  </r>
  <r>
    <s v="SP236"/>
    <x v="1"/>
    <d v="2024-12-20T00:00:00"/>
    <x v="1"/>
    <x v="3"/>
    <n v="2519"/>
    <n v="202"/>
    <n v="239"/>
    <n v="36245"/>
    <n v="48606"/>
    <n v="145"/>
    <x v="7"/>
    <s v="IndieWave"/>
    <n v="8.1666436749896543E-2"/>
    <n v="170"/>
  </r>
  <r>
    <s v="SP072"/>
    <x v="1"/>
    <d v="2024-10-11T00:00:00"/>
    <x v="1"/>
    <x v="5"/>
    <n v="1360"/>
    <n v="249"/>
    <n v="52"/>
    <n v="20368"/>
    <n v="42152"/>
    <n v="193"/>
    <x v="7"/>
    <s v="IndieWave"/>
    <n v="8.1549489395129612E-2"/>
    <n v="171"/>
  </r>
  <r>
    <s v="SP146"/>
    <x v="1"/>
    <d v="2025-05-22T00:00:00"/>
    <x v="1"/>
    <x v="3"/>
    <n v="2633"/>
    <n v="318"/>
    <n v="380"/>
    <n v="40869"/>
    <n v="64474"/>
    <n v="245"/>
    <x v="7"/>
    <s v="IndieWave"/>
    <n v="8.1504318676747664E-2"/>
    <n v="172"/>
  </r>
  <r>
    <s v="SP149"/>
    <x v="0"/>
    <d v="2025-04-13T00:00:00"/>
    <x v="1"/>
    <x v="5"/>
    <n v="3890"/>
    <n v="408"/>
    <n v="338"/>
    <n v="56994"/>
    <n v="32621"/>
    <n v="286"/>
    <x v="5"/>
    <s v="IndieWave"/>
    <n v="8.1341895638137346E-2"/>
    <n v="173"/>
  </r>
  <r>
    <s v="SP025"/>
    <x v="2"/>
    <d v="2024-10-10T00:00:00"/>
    <x v="2"/>
    <x v="5"/>
    <n v="4013"/>
    <n v="320"/>
    <n v="92"/>
    <n v="54605"/>
    <n v="60169"/>
    <n v="232"/>
    <x v="4"/>
    <s v="SummerBeats"/>
    <n v="8.1036535115831879E-2"/>
    <n v="174"/>
  </r>
  <r>
    <s v="SP233"/>
    <x v="0"/>
    <d v="2024-10-20T00:00:00"/>
    <x v="1"/>
    <x v="5"/>
    <n v="2752"/>
    <n v="309"/>
    <n v="91"/>
    <n v="39038"/>
    <n v="28095"/>
    <n v="277"/>
    <x v="2"/>
    <s v="ChillVibes"/>
    <n v="8.0741841282852611E-2"/>
    <n v="175"/>
  </r>
  <r>
    <s v="SP031"/>
    <x v="1"/>
    <d v="2025-01-01T00:00:00"/>
    <x v="1"/>
    <x v="1"/>
    <n v="4036"/>
    <n v="112"/>
    <n v="382"/>
    <n v="56284"/>
    <n v="29440"/>
    <n v="279"/>
    <x v="0"/>
    <s v="ChillVibes"/>
    <n v="8.0484684812735408E-2"/>
    <n v="176"/>
  </r>
  <r>
    <s v="SP220"/>
    <x v="2"/>
    <d v="2024-12-10T00:00:00"/>
    <x v="1"/>
    <x v="4"/>
    <n v="2569"/>
    <n v="140"/>
    <n v="375"/>
    <n v="38372"/>
    <n v="22102"/>
    <n v="255"/>
    <x v="3"/>
    <s v="IndieWave"/>
    <n v="8.0371103929948923E-2"/>
    <n v="177"/>
  </r>
  <r>
    <s v="SP023"/>
    <x v="2"/>
    <d v="2024-06-09T00:00:00"/>
    <x v="2"/>
    <x v="5"/>
    <n v="2786"/>
    <n v="368"/>
    <n v="208"/>
    <n v="42000"/>
    <n v="39967"/>
    <n v="103"/>
    <x v="4"/>
    <s v="SummerBeats"/>
    <n v="8.0047619047619048E-2"/>
    <n v="178"/>
  </r>
  <r>
    <s v="SP129"/>
    <x v="0"/>
    <d v="2025-07-01T00:00:00"/>
    <x v="0"/>
    <x v="2"/>
    <n v="3219"/>
    <n v="424"/>
    <n v="267"/>
    <n v="48879"/>
    <n v="37691"/>
    <n v="224"/>
    <x v="6"/>
    <s v="ChillVibes"/>
    <n v="7.9993453221219743E-2"/>
    <n v="179"/>
  </r>
  <r>
    <s v="SP206"/>
    <x v="0"/>
    <d v="2024-08-21T00:00:00"/>
    <x v="0"/>
    <x v="2"/>
    <n v="3989"/>
    <n v="476"/>
    <n v="128"/>
    <n v="57569"/>
    <n v="40193"/>
    <n v="222"/>
    <x v="6"/>
    <s v="ChillVibes"/>
    <n v="7.9782521843353188E-2"/>
    <n v="180"/>
  </r>
  <r>
    <s v="SP092"/>
    <x v="2"/>
    <d v="2024-03-25T00:00:00"/>
    <x v="2"/>
    <x v="2"/>
    <n v="1948"/>
    <n v="155"/>
    <n v="315"/>
    <n v="30321"/>
    <n v="57121"/>
    <n v="82"/>
    <x v="4"/>
    <s v="SummerBeats"/>
    <n v="7.974671020085089E-2"/>
    <n v="181"/>
  </r>
  <r>
    <s v="SP091"/>
    <x v="0"/>
    <d v="2025-04-27T00:00:00"/>
    <x v="1"/>
    <x v="2"/>
    <n v="1165"/>
    <n v="294"/>
    <n v="163"/>
    <n v="20659"/>
    <n v="45926"/>
    <n v="111"/>
    <x v="5"/>
    <s v="IndieWave"/>
    <n v="7.8512996756861422E-2"/>
    <n v="182"/>
  </r>
  <r>
    <s v="SP180"/>
    <x v="0"/>
    <d v="2025-04-30T00:00:00"/>
    <x v="0"/>
    <x v="6"/>
    <n v="3929"/>
    <n v="275"/>
    <n v="330"/>
    <n v="58329"/>
    <n v="33196"/>
    <n v="85"/>
    <x v="1"/>
    <s v="ChillVibes"/>
    <n v="7.7731488624869283E-2"/>
    <n v="183"/>
  </r>
  <r>
    <s v="SP205"/>
    <x v="0"/>
    <d v="2025-04-16T00:00:00"/>
    <x v="1"/>
    <x v="6"/>
    <n v="3792"/>
    <n v="315"/>
    <n v="120"/>
    <n v="54592"/>
    <n v="67886"/>
    <n v="117"/>
    <x v="5"/>
    <s v="IndieWave"/>
    <n v="7.7428927315357568E-2"/>
    <n v="184"/>
  </r>
  <r>
    <s v="SP209"/>
    <x v="0"/>
    <d v="2024-07-19T00:00:00"/>
    <x v="0"/>
    <x v="4"/>
    <n v="3071"/>
    <n v="126"/>
    <n v="200"/>
    <n v="44013"/>
    <n v="44679"/>
    <n v="118"/>
    <x v="6"/>
    <s v="ChillVibes"/>
    <n v="7.7181741758116915E-2"/>
    <n v="185"/>
  </r>
  <r>
    <s v="SP076"/>
    <x v="1"/>
    <d v="2024-07-14T00:00:00"/>
    <x v="1"/>
    <x v="6"/>
    <n v="2464"/>
    <n v="401"/>
    <n v="78"/>
    <n v="38665"/>
    <n v="73593"/>
    <n v="207"/>
    <x v="7"/>
    <s v="IndieWave"/>
    <n v="7.611534979956032E-2"/>
    <n v="186"/>
  </r>
  <r>
    <s v="SP032"/>
    <x v="0"/>
    <d v="2024-05-07T00:00:00"/>
    <x v="0"/>
    <x v="2"/>
    <n v="2776"/>
    <n v="307"/>
    <n v="178"/>
    <n v="43365"/>
    <n v="48408"/>
    <n v="138"/>
    <x v="0"/>
    <s v="ChillVibes"/>
    <n v="7.519889311656866E-2"/>
    <n v="187"/>
  </r>
  <r>
    <s v="SP259"/>
    <x v="0"/>
    <d v="2025-01-19T00:00:00"/>
    <x v="0"/>
    <x v="8"/>
    <n v="1651"/>
    <n v="480"/>
    <n v="282"/>
    <n v="32140"/>
    <n v="70560"/>
    <n v="138"/>
    <x v="0"/>
    <s v="ChillVibes"/>
    <n v="7.5077784691972627E-2"/>
    <n v="188"/>
  </r>
  <r>
    <s v="SP134"/>
    <x v="0"/>
    <d v="2025-05-15T00:00:00"/>
    <x v="1"/>
    <x v="1"/>
    <n v="1583"/>
    <n v="433"/>
    <n v="249"/>
    <n v="30256"/>
    <n v="47066"/>
    <n v="196"/>
    <x v="2"/>
    <s v="ChillVibes"/>
    <n v="7.4861184558434685E-2"/>
    <n v="189"/>
  </r>
  <r>
    <s v="SP006"/>
    <x v="2"/>
    <d v="2024-06-13T00:00:00"/>
    <x v="1"/>
    <x v="4"/>
    <n v="3882"/>
    <n v="239"/>
    <n v="275"/>
    <n v="58748"/>
    <n v="44646"/>
    <n v="149"/>
    <x v="3"/>
    <s v="IndieWave"/>
    <n v="7.4828079253761837E-2"/>
    <n v="190"/>
  </r>
  <r>
    <s v="SP013"/>
    <x v="0"/>
    <d v="2025-06-18T00:00:00"/>
    <x v="0"/>
    <x v="3"/>
    <n v="3956"/>
    <n v="319"/>
    <n v="61"/>
    <n v="58162"/>
    <n v="28720"/>
    <n v="213"/>
    <x v="1"/>
    <s v="ChillVibes"/>
    <n v="7.4550393727863554E-2"/>
    <n v="191"/>
  </r>
  <r>
    <s v="SP178"/>
    <x v="1"/>
    <d v="2024-12-14T00:00:00"/>
    <x v="0"/>
    <x v="5"/>
    <n v="3812"/>
    <n v="321"/>
    <n v="289"/>
    <n v="59838"/>
    <n v="36337"/>
    <n v="161"/>
    <x v="2"/>
    <s v="Wrapped2024"/>
    <n v="7.3899528727564417E-2"/>
    <n v="192"/>
  </r>
  <r>
    <s v="SP268"/>
    <x v="2"/>
    <d v="2024-03-17T00:00:00"/>
    <x v="2"/>
    <x v="2"/>
    <n v="2692"/>
    <n v="446"/>
    <n v="216"/>
    <n v="45818"/>
    <n v="62723"/>
    <n v="85"/>
    <x v="4"/>
    <s v="SummerBeats"/>
    <n v="7.3202671439172376E-2"/>
    <n v="193"/>
  </r>
  <r>
    <s v="SP080"/>
    <x v="1"/>
    <d v="2025-06-17T00:00:00"/>
    <x v="1"/>
    <x v="8"/>
    <n v="2284"/>
    <n v="187"/>
    <n v="260"/>
    <n v="37400"/>
    <n v="65014"/>
    <n v="157"/>
    <x v="0"/>
    <s v="ChillVibes"/>
    <n v="7.3021390374331557E-2"/>
    <n v="194"/>
  </r>
  <r>
    <s v="SP182"/>
    <x v="1"/>
    <d v="2024-03-19T00:00:00"/>
    <x v="1"/>
    <x v="5"/>
    <n v="2878"/>
    <n v="278"/>
    <n v="255"/>
    <n v="47235"/>
    <n v="57922"/>
    <n v="112"/>
    <x v="0"/>
    <s v="ChillVibes"/>
    <n v="7.2213401079707848E-2"/>
    <n v="195"/>
  </r>
  <r>
    <s v="SP147"/>
    <x v="0"/>
    <d v="2024-01-21T00:00:00"/>
    <x v="0"/>
    <x v="3"/>
    <n v="2383"/>
    <n v="136"/>
    <n v="302"/>
    <n v="39187"/>
    <n v="22133"/>
    <n v="208"/>
    <x v="1"/>
    <s v="ChillVibes"/>
    <n v="7.1988159338556151E-2"/>
    <n v="196"/>
  </r>
  <r>
    <s v="SP247"/>
    <x v="0"/>
    <d v="2024-09-16T00:00:00"/>
    <x v="0"/>
    <x v="9"/>
    <n v="3300"/>
    <n v="354"/>
    <n v="397"/>
    <n v="56773"/>
    <n v="72110"/>
    <n v="163"/>
    <x v="6"/>
    <s v="ChillVibes"/>
    <n v="7.1354340971940891E-2"/>
    <n v="197"/>
  </r>
  <r>
    <s v="SP207"/>
    <x v="0"/>
    <d v="2024-04-05T00:00:00"/>
    <x v="0"/>
    <x v="6"/>
    <n v="2857"/>
    <n v="443"/>
    <n v="359"/>
    <n v="51519"/>
    <n v="28256"/>
    <n v="155"/>
    <x v="0"/>
    <s v="ChillVibes"/>
    <n v="7.1022341272152026E-2"/>
    <n v="198"/>
  </r>
  <r>
    <s v="SP179"/>
    <x v="0"/>
    <d v="2024-11-19T00:00:00"/>
    <x v="1"/>
    <x v="2"/>
    <n v="2387"/>
    <n v="353"/>
    <n v="78"/>
    <n v="39745"/>
    <n v="69226"/>
    <n v="208"/>
    <x v="5"/>
    <s v="IndieWave"/>
    <n v="7.090200025160398E-2"/>
    <n v="199"/>
  </r>
  <r>
    <s v="SP126"/>
    <x v="0"/>
    <d v="2024-01-04T00:00:00"/>
    <x v="0"/>
    <x v="4"/>
    <n v="3208"/>
    <n v="476"/>
    <n v="277"/>
    <n v="56072"/>
    <n v="21061"/>
    <n v="113"/>
    <x v="1"/>
    <s v="ChillVibes"/>
    <n v="7.064131830503638E-2"/>
    <n v="200"/>
  </r>
  <r>
    <s v="SP141"/>
    <x v="2"/>
    <d v="2024-10-01T00:00:00"/>
    <x v="2"/>
    <x v="2"/>
    <n v="3543"/>
    <n v="334"/>
    <n v="218"/>
    <n v="58007"/>
    <n v="24792"/>
    <n v="273"/>
    <x v="4"/>
    <s v="SummerBeats"/>
    <n v="7.0594928198320889E-2"/>
    <n v="201"/>
  </r>
  <r>
    <s v="SP003"/>
    <x v="0"/>
    <d v="2024-12-03T00:00:00"/>
    <x v="0"/>
    <x v="1"/>
    <n v="3092"/>
    <n v="177"/>
    <n v="81"/>
    <n v="47533"/>
    <n v="29220"/>
    <n v="121"/>
    <x v="1"/>
    <s v="ChillVibes"/>
    <n v="7.0477352576105018E-2"/>
    <n v="202"/>
  </r>
  <r>
    <s v="SP029"/>
    <x v="0"/>
    <d v="2025-03-18T00:00:00"/>
    <x v="0"/>
    <x v="2"/>
    <n v="3418"/>
    <n v="188"/>
    <n v="387"/>
    <n v="57431"/>
    <n v="36933"/>
    <n v="202"/>
    <x v="1"/>
    <s v="ChillVibes"/>
    <n v="6.9526910553533799E-2"/>
    <n v="203"/>
  </r>
  <r>
    <s v="SP151"/>
    <x v="1"/>
    <d v="2024-08-12T00:00:00"/>
    <x v="0"/>
    <x v="3"/>
    <n v="2962"/>
    <n v="400"/>
    <n v="280"/>
    <n v="52508"/>
    <n v="58329"/>
    <n v="219"/>
    <x v="2"/>
    <s v="Wrapped2024"/>
    <n v="6.9360859297630834E-2"/>
    <n v="204"/>
  </r>
  <r>
    <s v="SP099"/>
    <x v="0"/>
    <d v="2024-10-15T00:00:00"/>
    <x v="1"/>
    <x v="6"/>
    <n v="1984"/>
    <n v="481"/>
    <n v="356"/>
    <n v="40681"/>
    <n v="63111"/>
    <n v="258"/>
    <x v="2"/>
    <s v="ChillVibes"/>
    <n v="6.934441139598338E-2"/>
    <n v="205"/>
  </r>
  <r>
    <s v="SP261"/>
    <x v="0"/>
    <d v="2024-11-16T00:00:00"/>
    <x v="1"/>
    <x v="5"/>
    <n v="2972"/>
    <n v="263"/>
    <n v="308"/>
    <n v="51740"/>
    <n v="28214"/>
    <n v="190"/>
    <x v="5"/>
    <s v="IndieWave"/>
    <n v="6.8477000386548123E-2"/>
    <n v="206"/>
  </r>
  <r>
    <s v="SP231"/>
    <x v="1"/>
    <d v="2024-03-28T00:00:00"/>
    <x v="1"/>
    <x v="4"/>
    <n v="1673"/>
    <n v="280"/>
    <n v="67"/>
    <n v="29847"/>
    <n v="48016"/>
    <n v="213"/>
    <x v="0"/>
    <s v="ChillVibes"/>
    <n v="6.76784936509532E-2"/>
    <n v="207"/>
  </r>
  <r>
    <s v="SP103"/>
    <x v="1"/>
    <d v="2024-02-14T00:00:00"/>
    <x v="1"/>
    <x v="8"/>
    <n v="1830"/>
    <n v="112"/>
    <n v="181"/>
    <n v="31870"/>
    <n v="55742"/>
    <n v="263"/>
    <x v="0"/>
    <s v="ChillVibes"/>
    <n v="6.6614370881706936E-2"/>
    <n v="208"/>
  </r>
  <r>
    <s v="SP278"/>
    <x v="1"/>
    <d v="2024-12-02T00:00:00"/>
    <x v="1"/>
    <x v="7"/>
    <n v="3194"/>
    <n v="292"/>
    <n v="245"/>
    <n v="56371"/>
    <n v="65597"/>
    <n v="163"/>
    <x v="0"/>
    <s v="ChillVibes"/>
    <n v="6.6186514342481059E-2"/>
    <n v="209"/>
  </r>
  <r>
    <s v="SP273"/>
    <x v="0"/>
    <d v="2024-02-12T00:00:00"/>
    <x v="1"/>
    <x v="2"/>
    <n v="2691"/>
    <n v="486"/>
    <n v="206"/>
    <n v="51133"/>
    <n v="44583"/>
    <n v="276"/>
    <x v="2"/>
    <s v="ChillVibes"/>
    <n v="6.6160796354604659E-2"/>
    <n v="210"/>
  </r>
  <r>
    <s v="SP193"/>
    <x v="2"/>
    <d v="2024-06-04T00:00:00"/>
    <x v="2"/>
    <x v="6"/>
    <n v="1211"/>
    <n v="431"/>
    <n v="83"/>
    <n v="26532"/>
    <n v="47305"/>
    <n v="232"/>
    <x v="4"/>
    <s v="SummerBeats"/>
    <n v="6.5015829941203071E-2"/>
    <n v="211"/>
  </r>
  <r>
    <s v="SP235"/>
    <x v="2"/>
    <d v="2024-09-07T00:00:00"/>
    <x v="1"/>
    <x v="9"/>
    <n v="2101"/>
    <n v="411"/>
    <n v="190"/>
    <n v="41791"/>
    <n v="57090"/>
    <n v="172"/>
    <x v="3"/>
    <s v="IndieWave"/>
    <n v="6.4655069273288512E-2"/>
    <n v="212"/>
  </r>
  <r>
    <s v="SP019"/>
    <x v="2"/>
    <d v="2024-06-15T00:00:00"/>
    <x v="2"/>
    <x v="0"/>
    <n v="1751"/>
    <n v="143"/>
    <n v="151"/>
    <n v="31826"/>
    <n v="47729"/>
    <n v="95"/>
    <x v="4"/>
    <s v="SummerBeats"/>
    <n v="6.4255640042732362E-2"/>
    <n v="213"/>
  </r>
  <r>
    <s v="SP093"/>
    <x v="1"/>
    <d v="2024-02-29T00:00:00"/>
    <x v="1"/>
    <x v="5"/>
    <n v="1100"/>
    <n v="229"/>
    <n v="312"/>
    <n v="25641"/>
    <n v="34601"/>
    <n v="169"/>
    <x v="7"/>
    <s v="IndieWave"/>
    <n v="6.3999063999063993E-2"/>
    <n v="214"/>
  </r>
  <r>
    <s v="SP036"/>
    <x v="1"/>
    <d v="2024-05-04T00:00:00"/>
    <x v="1"/>
    <x v="6"/>
    <n v="2274"/>
    <n v="243"/>
    <n v="222"/>
    <n v="43066"/>
    <n v="59174"/>
    <n v="80"/>
    <x v="7"/>
    <s v="IndieWave"/>
    <n v="6.3600055728416843E-2"/>
    <n v="215"/>
  </r>
  <r>
    <s v="SP201"/>
    <x v="0"/>
    <d v="2024-09-12T00:00:00"/>
    <x v="0"/>
    <x v="6"/>
    <n v="1839"/>
    <n v="223"/>
    <n v="171"/>
    <n v="35459"/>
    <n v="69988"/>
    <n v="114"/>
    <x v="1"/>
    <s v="ChillVibes"/>
    <n v="6.2974139146620034E-2"/>
    <n v="216"/>
  </r>
  <r>
    <s v="SP184"/>
    <x v="0"/>
    <d v="2024-07-13T00:00:00"/>
    <x v="0"/>
    <x v="0"/>
    <n v="2408"/>
    <n v="323"/>
    <n v="251"/>
    <n v="47599"/>
    <n v="35543"/>
    <n v="287"/>
    <x v="1"/>
    <s v="ChillVibes"/>
    <n v="6.2648374965860634E-2"/>
    <n v="217"/>
  </r>
  <r>
    <s v="SP105"/>
    <x v="0"/>
    <d v="2024-09-18T00:00:00"/>
    <x v="1"/>
    <x v="3"/>
    <n v="2878"/>
    <n v="265"/>
    <n v="91"/>
    <n v="52090"/>
    <n v="28924"/>
    <n v="133"/>
    <x v="2"/>
    <s v="ChillVibes"/>
    <n v="6.2084853138798232E-2"/>
    <n v="218"/>
  </r>
  <r>
    <s v="SP267"/>
    <x v="2"/>
    <d v="2024-11-08T00:00:00"/>
    <x v="1"/>
    <x v="7"/>
    <n v="2471"/>
    <n v="166"/>
    <n v="320"/>
    <n v="48254"/>
    <n v="46900"/>
    <n v="111"/>
    <x v="3"/>
    <s v="IndieWave"/>
    <n v="6.1279893894806647E-2"/>
    <n v="219"/>
  </r>
  <r>
    <s v="SP087"/>
    <x v="0"/>
    <d v="2024-04-23T00:00:00"/>
    <x v="0"/>
    <x v="3"/>
    <n v="2683"/>
    <n v="496"/>
    <n v="89"/>
    <n v="53435"/>
    <n v="30334"/>
    <n v="160"/>
    <x v="0"/>
    <s v="ChillVibes"/>
    <n v="6.1158416768035934E-2"/>
    <n v="220"/>
  </r>
  <r>
    <s v="SP298"/>
    <x v="0"/>
    <d v="2025-06-30T00:00:00"/>
    <x v="1"/>
    <x v="4"/>
    <n v="2275"/>
    <n v="285"/>
    <n v="125"/>
    <n v="43970"/>
    <n v="74761"/>
    <n v="83"/>
    <x v="2"/>
    <s v="ChillVibes"/>
    <n v="6.1064362065044349E-2"/>
    <n v="221"/>
  </r>
  <r>
    <s v="SP144"/>
    <x v="1"/>
    <d v="2025-02-14T00:00:00"/>
    <x v="1"/>
    <x v="3"/>
    <n v="2329"/>
    <n v="373"/>
    <n v="291"/>
    <n v="49577"/>
    <n v="28002"/>
    <n v="82"/>
    <x v="0"/>
    <s v="ChillVibes"/>
    <n v="6.0370736430199488E-2"/>
    <n v="222"/>
  </r>
  <r>
    <s v="SP085"/>
    <x v="1"/>
    <d v="2024-08-18T00:00:00"/>
    <x v="1"/>
    <x v="2"/>
    <n v="2965"/>
    <n v="328"/>
    <n v="171"/>
    <n v="57685"/>
    <n v="67536"/>
    <n v="264"/>
    <x v="0"/>
    <s v="ChillVibes"/>
    <n v="6.0050273034584378E-2"/>
    <n v="223"/>
  </r>
  <r>
    <s v="SP297"/>
    <x v="0"/>
    <d v="2024-11-16T00:00:00"/>
    <x v="1"/>
    <x v="2"/>
    <n v="2901"/>
    <n v="108"/>
    <n v="86"/>
    <n v="51777"/>
    <n v="23773"/>
    <n v="160"/>
    <x v="5"/>
    <s v="IndieWave"/>
    <n v="5.9775576027966085E-2"/>
    <n v="224"/>
  </r>
  <r>
    <s v="SP154"/>
    <x v="1"/>
    <d v="2024-11-19T00:00:00"/>
    <x v="1"/>
    <x v="4"/>
    <n v="2525"/>
    <n v="272"/>
    <n v="294"/>
    <n v="51875"/>
    <n v="24732"/>
    <n v="92"/>
    <x v="7"/>
    <s v="IndieWave"/>
    <n v="5.9585542168674697E-2"/>
    <n v="225"/>
  </r>
  <r>
    <s v="SP082"/>
    <x v="1"/>
    <d v="2024-08-26T00:00:00"/>
    <x v="1"/>
    <x v="9"/>
    <n v="2102"/>
    <n v="181"/>
    <n v="306"/>
    <n v="43650"/>
    <n v="50079"/>
    <n v="182"/>
    <x v="7"/>
    <s v="IndieWave"/>
    <n v="5.9312714776632303E-2"/>
    <n v="226"/>
  </r>
  <r>
    <s v="SP123"/>
    <x v="2"/>
    <d v="2024-05-12T00:00:00"/>
    <x v="1"/>
    <x v="5"/>
    <n v="2911"/>
    <n v="467"/>
    <n v="94"/>
    <n v="59083"/>
    <n v="49762"/>
    <n v="236"/>
    <x v="3"/>
    <s v="IndieWave"/>
    <n v="5.8764788517847777E-2"/>
    <n v="227"/>
  </r>
  <r>
    <s v="SP053"/>
    <x v="0"/>
    <d v="2024-08-12T00:00:00"/>
    <x v="0"/>
    <x v="4"/>
    <n v="2842"/>
    <n v="213"/>
    <n v="331"/>
    <n v="57660"/>
    <n v="68606"/>
    <n v="87"/>
    <x v="1"/>
    <s v="ChillVibes"/>
    <n v="5.8723551855705859E-2"/>
    <n v="228"/>
  </r>
  <r>
    <s v="SP291"/>
    <x v="1"/>
    <d v="2024-06-29T00:00:00"/>
    <x v="1"/>
    <x v="9"/>
    <n v="2088"/>
    <n v="490"/>
    <n v="124"/>
    <n v="46544"/>
    <n v="69346"/>
    <n v="178"/>
    <x v="0"/>
    <s v="ChillVibes"/>
    <n v="5.8052595393606049E-2"/>
    <n v="229"/>
  </r>
  <r>
    <s v="SP119"/>
    <x v="0"/>
    <d v="2025-05-29T00:00:00"/>
    <x v="0"/>
    <x v="8"/>
    <n v="2134"/>
    <n v="322"/>
    <n v="114"/>
    <n v="44338"/>
    <n v="52165"/>
    <n v="176"/>
    <x v="1"/>
    <s v="ChillVibes"/>
    <n v="5.7963823356939871E-2"/>
    <n v="230"/>
  </r>
  <r>
    <s v="SP276"/>
    <x v="0"/>
    <d v="2025-03-04T00:00:00"/>
    <x v="1"/>
    <x v="3"/>
    <n v="2177"/>
    <n v="258"/>
    <n v="292"/>
    <n v="47276"/>
    <n v="51324"/>
    <n v="143"/>
    <x v="2"/>
    <s v="ChillVibes"/>
    <n v="5.7682545054573146E-2"/>
    <n v="231"/>
  </r>
  <r>
    <s v="SP255"/>
    <x v="0"/>
    <d v="2024-04-03T00:00:00"/>
    <x v="0"/>
    <x v="7"/>
    <n v="2291"/>
    <n v="146"/>
    <n v="399"/>
    <n v="49319"/>
    <n v="28056"/>
    <n v="90"/>
    <x v="6"/>
    <s v="ChillVibes"/>
    <n v="5.7503193495407452E-2"/>
    <n v="232"/>
  </r>
  <r>
    <s v="SP175"/>
    <x v="0"/>
    <d v="2025-04-01T00:00:00"/>
    <x v="0"/>
    <x v="8"/>
    <n v="2665"/>
    <n v="143"/>
    <n v="315"/>
    <n v="54808"/>
    <n v="29818"/>
    <n v="98"/>
    <x v="6"/>
    <s v="ChillVibes"/>
    <n v="5.6980732739746021E-2"/>
    <n v="233"/>
  </r>
  <r>
    <s v="SP194"/>
    <x v="0"/>
    <d v="2024-05-10T00:00:00"/>
    <x v="0"/>
    <x v="2"/>
    <n v="2784"/>
    <n v="111"/>
    <n v="399"/>
    <n v="58366"/>
    <n v="69512"/>
    <n v="269"/>
    <x v="1"/>
    <s v="ChillVibes"/>
    <n v="5.6436966727204191E-2"/>
    <n v="234"/>
  </r>
  <r>
    <s v="SP299"/>
    <x v="0"/>
    <d v="2024-01-12T00:00:00"/>
    <x v="0"/>
    <x v="6"/>
    <n v="2227"/>
    <n v="494"/>
    <n v="161"/>
    <n v="51651"/>
    <n v="68074"/>
    <n v="240"/>
    <x v="6"/>
    <s v="ChillVibes"/>
    <n v="5.5797564422760453E-2"/>
    <n v="235"/>
  </r>
  <r>
    <s v="SP264"/>
    <x v="2"/>
    <d v="2025-05-31T00:00:00"/>
    <x v="2"/>
    <x v="0"/>
    <n v="2162"/>
    <n v="318"/>
    <n v="83"/>
    <n v="46719"/>
    <n v="20482"/>
    <n v="185"/>
    <x v="4"/>
    <s v="SummerBeats"/>
    <n v="5.4859907104176028E-2"/>
    <n v="236"/>
  </r>
  <r>
    <s v="SP274"/>
    <x v="1"/>
    <d v="2024-10-08T00:00:00"/>
    <x v="1"/>
    <x v="2"/>
    <n v="2110"/>
    <n v="384"/>
    <n v="236"/>
    <n v="49965"/>
    <n v="61555"/>
    <n v="195"/>
    <x v="7"/>
    <s v="IndieWave"/>
    <n v="5.4638246772740921E-2"/>
    <n v="237"/>
  </r>
  <r>
    <s v="SP131"/>
    <x v="0"/>
    <d v="2025-03-20T00:00:00"/>
    <x v="1"/>
    <x v="9"/>
    <n v="1564"/>
    <n v="362"/>
    <n v="371"/>
    <n v="42075"/>
    <n v="66659"/>
    <n v="205"/>
    <x v="5"/>
    <s v="IndieWave"/>
    <n v="5.4592988710635768E-2"/>
    <n v="238"/>
  </r>
  <r>
    <s v="SP282"/>
    <x v="0"/>
    <d v="2024-02-21T00:00:00"/>
    <x v="0"/>
    <x v="0"/>
    <n v="2604"/>
    <n v="439"/>
    <n v="148"/>
    <n v="58468"/>
    <n v="39629"/>
    <n v="163"/>
    <x v="1"/>
    <s v="ChillVibes"/>
    <n v="5.4576862557296296E-2"/>
    <n v="239"/>
  </r>
  <r>
    <s v="SP263"/>
    <x v="2"/>
    <d v="2024-03-27T00:00:00"/>
    <x v="1"/>
    <x v="8"/>
    <n v="2399"/>
    <n v="191"/>
    <n v="221"/>
    <n v="51603"/>
    <n v="40033"/>
    <n v="173"/>
    <x v="3"/>
    <s v="IndieWave"/>
    <n v="5.4473577117609438E-2"/>
    <n v="240"/>
  </r>
  <r>
    <s v="SP012"/>
    <x v="1"/>
    <d v="2024-05-14T00:00:00"/>
    <x v="1"/>
    <x v="3"/>
    <n v="1485"/>
    <n v="353"/>
    <n v="244"/>
    <n v="38419"/>
    <n v="38556"/>
    <n v="86"/>
    <x v="0"/>
    <s v="ChillVibes"/>
    <n v="5.4191936281527367E-2"/>
    <n v="241"/>
  </r>
  <r>
    <s v="SP238"/>
    <x v="1"/>
    <d v="2025-06-15T00:00:00"/>
    <x v="1"/>
    <x v="2"/>
    <n v="2478"/>
    <n v="427"/>
    <n v="242"/>
    <n v="59272"/>
    <n v="37833"/>
    <n v="214"/>
    <x v="0"/>
    <s v="ChillVibes"/>
    <n v="5.3094209744904843E-2"/>
    <n v="242"/>
  </r>
  <r>
    <s v="SP112"/>
    <x v="1"/>
    <d v="2025-02-16T00:00:00"/>
    <x v="1"/>
    <x v="9"/>
    <n v="1333"/>
    <n v="286"/>
    <n v="298"/>
    <n v="36174"/>
    <n v="34517"/>
    <n v="170"/>
    <x v="0"/>
    <s v="ChillVibes"/>
    <n v="5.2993862995521647E-2"/>
    <n v="243"/>
  </r>
  <r>
    <s v="SP225"/>
    <x v="2"/>
    <d v="2024-02-01T00:00:00"/>
    <x v="1"/>
    <x v="6"/>
    <n v="1432"/>
    <n v="437"/>
    <n v="267"/>
    <n v="40634"/>
    <n v="54511"/>
    <n v="197"/>
    <x v="3"/>
    <s v="IndieWave"/>
    <n v="5.2566815966924252E-2"/>
    <n v="244"/>
  </r>
  <r>
    <s v="SP226"/>
    <x v="0"/>
    <d v="2024-01-17T00:00:00"/>
    <x v="0"/>
    <x v="1"/>
    <n v="2174"/>
    <n v="499"/>
    <n v="212"/>
    <n v="54938"/>
    <n v="27190"/>
    <n v="265"/>
    <x v="1"/>
    <s v="ChillVibes"/>
    <n v="5.2513742764570971E-2"/>
    <n v="245"/>
  </r>
  <r>
    <s v="SP256"/>
    <x v="0"/>
    <d v="2024-07-08T00:00:00"/>
    <x v="0"/>
    <x v="6"/>
    <n v="2304"/>
    <n v="289"/>
    <n v="161"/>
    <n v="52645"/>
    <n v="66262"/>
    <n v="146"/>
    <x v="1"/>
    <s v="ChillVibes"/>
    <n v="5.2312660271630736E-2"/>
    <n v="246"/>
  </r>
  <r>
    <s v="SP073"/>
    <x v="2"/>
    <d v="2025-05-06T00:00:00"/>
    <x v="2"/>
    <x v="3"/>
    <n v="1085"/>
    <n v="496"/>
    <n v="320"/>
    <n v="36528"/>
    <n v="38599"/>
    <n v="270"/>
    <x v="4"/>
    <s v="SummerBeats"/>
    <n v="5.2042268944371438E-2"/>
    <n v="247"/>
  </r>
  <r>
    <s v="SP216"/>
    <x v="0"/>
    <d v="2025-01-12T00:00:00"/>
    <x v="1"/>
    <x v="8"/>
    <n v="1765"/>
    <n v="285"/>
    <n v="100"/>
    <n v="41313"/>
    <n v="56575"/>
    <n v="174"/>
    <x v="5"/>
    <s v="IndieWave"/>
    <n v="5.2041730205988429E-2"/>
    <n v="248"/>
  </r>
  <r>
    <s v="SP272"/>
    <x v="0"/>
    <d v="2024-11-07T00:00:00"/>
    <x v="1"/>
    <x v="2"/>
    <n v="2229"/>
    <n v="395"/>
    <n v="328"/>
    <n v="56921"/>
    <n v="37176"/>
    <n v="126"/>
    <x v="5"/>
    <s v="IndieWave"/>
    <n v="5.1861351697967357E-2"/>
    <n v="249"/>
  </r>
  <r>
    <s v="SP196"/>
    <x v="1"/>
    <d v="2025-01-12T00:00:00"/>
    <x v="1"/>
    <x v="5"/>
    <n v="1771"/>
    <n v="487"/>
    <n v="272"/>
    <n v="48810"/>
    <n v="48084"/>
    <n v="272"/>
    <x v="0"/>
    <s v="ChillVibes"/>
    <n v="5.1833640647408315E-2"/>
    <n v="250"/>
  </r>
  <r>
    <s v="SP026"/>
    <x v="0"/>
    <d v="2025-05-14T00:00:00"/>
    <x v="0"/>
    <x v="5"/>
    <n v="2707"/>
    <n v="103"/>
    <n v="51"/>
    <n v="55302"/>
    <n v="18801"/>
    <n v="147"/>
    <x v="6"/>
    <s v="ChillVibes"/>
    <n v="5.173411449857148E-2"/>
    <n v="251"/>
  </r>
  <r>
    <s v="SP075"/>
    <x v="0"/>
    <d v="2024-01-22T00:00:00"/>
    <x v="0"/>
    <x v="5"/>
    <n v="1554"/>
    <n v="455"/>
    <n v="158"/>
    <n v="41947"/>
    <n v="48578"/>
    <n v="101"/>
    <x v="0"/>
    <s v="ChillVibes"/>
    <n v="5.1660428636136076E-2"/>
    <n v="252"/>
  </r>
  <r>
    <s v="SP114"/>
    <x v="0"/>
    <d v="2024-07-16T00:00:00"/>
    <x v="1"/>
    <x v="7"/>
    <n v="1803"/>
    <n v="273"/>
    <n v="287"/>
    <n v="46176"/>
    <n v="25488"/>
    <n v="141"/>
    <x v="2"/>
    <s v="ChillVibes"/>
    <n v="5.1173769923769923E-2"/>
    <n v="253"/>
  </r>
  <r>
    <s v="SP253"/>
    <x v="2"/>
    <d v="2024-08-08T00:00:00"/>
    <x v="1"/>
    <x v="5"/>
    <n v="1994"/>
    <n v="197"/>
    <n v="290"/>
    <n v="49500"/>
    <n v="23343"/>
    <n v="160"/>
    <x v="3"/>
    <s v="IndieWave"/>
    <n v="5.0121212121212122E-2"/>
    <n v="254"/>
  </r>
  <r>
    <s v="SP160"/>
    <x v="2"/>
    <d v="2024-02-08T00:00:00"/>
    <x v="2"/>
    <x v="7"/>
    <n v="1889"/>
    <n v="298"/>
    <n v="122"/>
    <n v="46225"/>
    <n v="74305"/>
    <n v="293"/>
    <x v="4"/>
    <s v="SummerBeats"/>
    <n v="4.9951325040562468E-2"/>
    <n v="255"/>
  </r>
  <r>
    <s v="SP116"/>
    <x v="1"/>
    <d v="2025-05-04T00:00:00"/>
    <x v="0"/>
    <x v="1"/>
    <n v="1311"/>
    <n v="181"/>
    <n v="361"/>
    <n v="37148"/>
    <n v="44875"/>
    <n v="245"/>
    <x v="2"/>
    <s v="Wrapped2024"/>
    <n v="4.9881554861634543E-2"/>
    <n v="256"/>
  </r>
  <r>
    <s v="SP230"/>
    <x v="2"/>
    <d v="2025-05-14T00:00:00"/>
    <x v="1"/>
    <x v="3"/>
    <n v="1701"/>
    <n v="272"/>
    <n v="385"/>
    <n v="47496"/>
    <n v="40832"/>
    <n v="246"/>
    <x v="3"/>
    <s v="IndieWave"/>
    <n v="4.9646286003031836E-2"/>
    <n v="257"/>
  </r>
  <r>
    <s v="SP241"/>
    <x v="0"/>
    <d v="2024-09-15T00:00:00"/>
    <x v="1"/>
    <x v="0"/>
    <n v="2145"/>
    <n v="340"/>
    <n v="85"/>
    <n v="53323"/>
    <n v="49938"/>
    <n v="104"/>
    <x v="2"/>
    <s v="ChillVibes"/>
    <n v="4.819683813738912E-2"/>
    <n v="258"/>
  </r>
  <r>
    <s v="SP055"/>
    <x v="0"/>
    <d v="2024-05-08T00:00:00"/>
    <x v="1"/>
    <x v="2"/>
    <n v="1828"/>
    <n v="450"/>
    <n v="214"/>
    <n v="52115"/>
    <n v="19166"/>
    <n v="190"/>
    <x v="2"/>
    <s v="ChillVibes"/>
    <n v="4.781732706514439E-2"/>
    <n v="259"/>
  </r>
  <r>
    <s v="SP133"/>
    <x v="2"/>
    <d v="2024-01-27T00:00:00"/>
    <x v="1"/>
    <x v="9"/>
    <n v="1976"/>
    <n v="262"/>
    <n v="218"/>
    <n v="51696"/>
    <n v="44846"/>
    <n v="139"/>
    <x v="3"/>
    <s v="IndieWave"/>
    <n v="4.7508511296812134E-2"/>
    <n v="260"/>
  </r>
  <r>
    <s v="SP017"/>
    <x v="0"/>
    <d v="2024-06-10T00:00:00"/>
    <x v="1"/>
    <x v="4"/>
    <n v="1514"/>
    <n v="164"/>
    <n v="275"/>
    <n v="41364"/>
    <n v="44389"/>
    <n v="83"/>
    <x v="2"/>
    <s v="ChillVibes"/>
    <n v="4.7214969538729328E-2"/>
    <n v="261"/>
  </r>
  <r>
    <s v="SP120"/>
    <x v="1"/>
    <d v="2025-01-17T00:00:00"/>
    <x v="1"/>
    <x v="7"/>
    <n v="2266"/>
    <n v="126"/>
    <n v="140"/>
    <n v="53759"/>
    <n v="46834"/>
    <n v="277"/>
    <x v="7"/>
    <s v="IndieWave"/>
    <n v="4.7099090384865788E-2"/>
    <n v="262"/>
  </r>
  <r>
    <s v="SP069"/>
    <x v="0"/>
    <d v="2024-12-17T00:00:00"/>
    <x v="0"/>
    <x v="8"/>
    <n v="1316"/>
    <n v="472"/>
    <n v="286"/>
    <n v="44692"/>
    <n v="53343"/>
    <n v="227"/>
    <x v="6"/>
    <s v="ChillVibes"/>
    <n v="4.6406515707509172E-2"/>
    <n v="263"/>
  </r>
  <r>
    <s v="SP219"/>
    <x v="0"/>
    <d v="2024-02-10T00:00:00"/>
    <x v="1"/>
    <x v="5"/>
    <n v="1519"/>
    <n v="456"/>
    <n v="379"/>
    <n v="51611"/>
    <n v="45880"/>
    <n v="176"/>
    <x v="5"/>
    <s v="IndieWave"/>
    <n v="4.5610431884675749E-2"/>
    <n v="264"/>
  </r>
  <r>
    <s v="SP200"/>
    <x v="0"/>
    <d v="2024-03-18T00:00:00"/>
    <x v="1"/>
    <x v="1"/>
    <n v="2033"/>
    <n v="420"/>
    <n v="94"/>
    <n v="56290"/>
    <n v="57391"/>
    <n v="196"/>
    <x v="2"/>
    <s v="ChillVibes"/>
    <n v="4.5247823769763724E-2"/>
    <n v="265"/>
  </r>
  <r>
    <s v="SP293"/>
    <x v="2"/>
    <d v="2025-04-18T00:00:00"/>
    <x v="2"/>
    <x v="9"/>
    <n v="1265"/>
    <n v="230"/>
    <n v="364"/>
    <n v="41312"/>
    <n v="50382"/>
    <n v="106"/>
    <x v="4"/>
    <s v="SummerBeats"/>
    <n v="4.4999031758326875E-2"/>
    <n v="266"/>
  </r>
  <r>
    <s v="SP086"/>
    <x v="0"/>
    <d v="2025-05-14T00:00:00"/>
    <x v="0"/>
    <x v="6"/>
    <n v="1371"/>
    <n v="139"/>
    <n v="96"/>
    <n v="36140"/>
    <n v="39395"/>
    <n v="169"/>
    <x v="0"/>
    <s v="ChillVibes"/>
    <n v="4.4438295517432211E-2"/>
    <n v="267"/>
  </r>
  <r>
    <s v="SP034"/>
    <x v="1"/>
    <d v="2025-01-09T00:00:00"/>
    <x v="1"/>
    <x v="1"/>
    <n v="1015"/>
    <n v="366"/>
    <n v="308"/>
    <n v="38127"/>
    <n v="63790"/>
    <n v="287"/>
    <x v="0"/>
    <s v="ChillVibes"/>
    <n v="4.4299315445747112E-2"/>
    <n v="268"/>
  </r>
  <r>
    <s v="SP251"/>
    <x v="0"/>
    <d v="2024-07-07T00:00:00"/>
    <x v="1"/>
    <x v="4"/>
    <n v="1848"/>
    <n v="417"/>
    <n v="294"/>
    <n v="57819"/>
    <n v="19798"/>
    <n v="262"/>
    <x v="5"/>
    <s v="IndieWave"/>
    <n v="4.4258807658382193E-2"/>
    <n v="269"/>
  </r>
  <r>
    <s v="SP062"/>
    <x v="0"/>
    <d v="2024-11-03T00:00:00"/>
    <x v="0"/>
    <x v="6"/>
    <n v="1959"/>
    <n v="316"/>
    <n v="82"/>
    <n v="54036"/>
    <n v="69015"/>
    <n v="182"/>
    <x v="1"/>
    <s v="ChillVibes"/>
    <n v="4.3619068768968837E-2"/>
    <n v="270"/>
  </r>
  <r>
    <s v="SP021"/>
    <x v="1"/>
    <d v="2024-11-07T00:00:00"/>
    <x v="0"/>
    <x v="6"/>
    <n v="1678"/>
    <n v="423"/>
    <n v="323"/>
    <n v="55668"/>
    <n v="37945"/>
    <n v="230"/>
    <x v="2"/>
    <s v="Wrapped2024"/>
    <n v="4.3543867212761371E-2"/>
    <n v="271"/>
  </r>
  <r>
    <s v="SP181"/>
    <x v="0"/>
    <d v="2024-03-19T00:00:00"/>
    <x v="1"/>
    <x v="5"/>
    <n v="2191"/>
    <n v="288"/>
    <n v="83"/>
    <n v="59606"/>
    <n v="24765"/>
    <n v="281"/>
    <x v="5"/>
    <s v="IndieWave"/>
    <n v="4.2982250109049422E-2"/>
    <n v="272"/>
  </r>
  <r>
    <s v="SP118"/>
    <x v="0"/>
    <d v="2024-05-16T00:00:00"/>
    <x v="0"/>
    <x v="8"/>
    <n v="2023"/>
    <n v="124"/>
    <n v="99"/>
    <n v="54524"/>
    <n v="34790"/>
    <n v="195"/>
    <x v="6"/>
    <s v="ChillVibes"/>
    <n v="4.1192869195216787E-2"/>
    <n v="273"/>
  </r>
  <r>
    <s v="SP074"/>
    <x v="0"/>
    <d v="2024-05-19T00:00:00"/>
    <x v="0"/>
    <x v="0"/>
    <n v="1763"/>
    <n v="206"/>
    <n v="187"/>
    <n v="53342"/>
    <n v="25095"/>
    <n v="88"/>
    <x v="6"/>
    <s v="ChillVibes"/>
    <n v="4.0418432004799221E-2"/>
    <n v="274"/>
  </r>
  <r>
    <s v="SP212"/>
    <x v="0"/>
    <d v="2025-06-19T00:00:00"/>
    <x v="0"/>
    <x v="4"/>
    <n v="1433"/>
    <n v="452"/>
    <n v="305"/>
    <n v="54541"/>
    <n v="63700"/>
    <n v="296"/>
    <x v="6"/>
    <s v="ChillVibes"/>
    <n v="4.0153279184466734E-2"/>
    <n v="275"/>
  </r>
  <r>
    <s v="SP044"/>
    <x v="1"/>
    <d v="2024-09-06T00:00:00"/>
    <x v="1"/>
    <x v="1"/>
    <n v="1452"/>
    <n v="281"/>
    <n v="326"/>
    <n v="51556"/>
    <n v="62599"/>
    <n v="290"/>
    <x v="7"/>
    <s v="IndieWave"/>
    <n v="3.9937155714174881E-2"/>
    <n v="276"/>
  </r>
  <r>
    <s v="SP039"/>
    <x v="1"/>
    <d v="2024-11-25T00:00:00"/>
    <x v="1"/>
    <x v="5"/>
    <n v="1341"/>
    <n v="472"/>
    <n v="238"/>
    <n v="51386"/>
    <n v="51706"/>
    <n v="133"/>
    <x v="7"/>
    <s v="IndieWave"/>
    <n v="3.9913595142645857E-2"/>
    <n v="277"/>
  </r>
  <r>
    <s v="SP113"/>
    <x v="1"/>
    <d v="2024-09-09T00:00:00"/>
    <x v="1"/>
    <x v="1"/>
    <n v="1616"/>
    <n v="360"/>
    <n v="180"/>
    <n v="54342"/>
    <n v="18796"/>
    <n v="282"/>
    <x v="0"/>
    <s v="ChillVibes"/>
    <n v="3.9674653122814763E-2"/>
    <n v="278"/>
  </r>
  <r>
    <s v="SP208"/>
    <x v="0"/>
    <d v="2025-04-07T00:00:00"/>
    <x v="1"/>
    <x v="5"/>
    <n v="1403"/>
    <n v="385"/>
    <n v="344"/>
    <n v="54223"/>
    <n v="72595"/>
    <n v="239"/>
    <x v="5"/>
    <s v="IndieWave"/>
    <n v="3.9319108127547353E-2"/>
    <n v="279"/>
  </r>
  <r>
    <s v="SP038"/>
    <x v="1"/>
    <d v="2024-09-10T00:00:00"/>
    <x v="0"/>
    <x v="1"/>
    <n v="1230"/>
    <n v="309"/>
    <n v="207"/>
    <n v="44629"/>
    <n v="40699"/>
    <n v="195"/>
    <x v="2"/>
    <s v="Wrapped2024"/>
    <n v="3.9122543637545096E-2"/>
    <n v="280"/>
  </r>
  <r>
    <s v="SP156"/>
    <x v="2"/>
    <d v="2024-09-03T00:00:00"/>
    <x v="2"/>
    <x v="4"/>
    <n v="1437"/>
    <n v="494"/>
    <n v="129"/>
    <n v="53048"/>
    <n v="44090"/>
    <n v="230"/>
    <x v="4"/>
    <s v="SummerBeats"/>
    <n v="3.8832755240536872E-2"/>
    <n v="281"/>
  </r>
  <r>
    <s v="SP063"/>
    <x v="0"/>
    <d v="2024-07-07T00:00:00"/>
    <x v="1"/>
    <x v="1"/>
    <n v="1035"/>
    <n v="137"/>
    <n v="184"/>
    <n v="37302"/>
    <n v="68953"/>
    <n v="237"/>
    <x v="5"/>
    <s v="IndieWave"/>
    <n v="3.6351938233874857E-2"/>
    <n v="282"/>
  </r>
  <r>
    <s v="SP122"/>
    <x v="0"/>
    <d v="2024-02-24T00:00:00"/>
    <x v="0"/>
    <x v="8"/>
    <n v="1022"/>
    <n v="463"/>
    <n v="360"/>
    <n v="51468"/>
    <n v="24279"/>
    <n v="230"/>
    <x v="6"/>
    <s v="ChillVibes"/>
    <n v="3.5847516903707161E-2"/>
    <n v="283"/>
  </r>
  <r>
    <s v="SP197"/>
    <x v="2"/>
    <d v="2024-12-08T00:00:00"/>
    <x v="1"/>
    <x v="7"/>
    <n v="1424"/>
    <n v="396"/>
    <n v="312"/>
    <n v="59517"/>
    <n v="46102"/>
    <n v="239"/>
    <x v="3"/>
    <s v="IndieWave"/>
    <n v="3.5821698002251455E-2"/>
    <n v="284"/>
  </r>
  <r>
    <s v="SP065"/>
    <x v="2"/>
    <d v="2024-05-26T00:00:00"/>
    <x v="1"/>
    <x v="5"/>
    <n v="1488"/>
    <n v="327"/>
    <n v="110"/>
    <n v="53805"/>
    <n v="30239"/>
    <n v="109"/>
    <x v="3"/>
    <s v="IndieWave"/>
    <n v="3.5777344113000653E-2"/>
    <n v="285"/>
  </r>
  <r>
    <s v="SP164"/>
    <x v="1"/>
    <d v="2025-06-27T00:00:00"/>
    <x v="0"/>
    <x v="4"/>
    <n v="1342"/>
    <n v="332"/>
    <n v="163"/>
    <n v="51712"/>
    <n v="57922"/>
    <n v="168"/>
    <x v="2"/>
    <s v="Wrapped2024"/>
    <n v="3.5523669554455448E-2"/>
    <n v="286"/>
  </r>
  <r>
    <s v="SP198"/>
    <x v="0"/>
    <d v="2025-02-01T00:00:00"/>
    <x v="0"/>
    <x v="7"/>
    <n v="1079"/>
    <n v="265"/>
    <n v="190"/>
    <n v="43786"/>
    <n v="72428"/>
    <n v="222"/>
    <x v="0"/>
    <s v="ChillVibes"/>
    <n v="3.5034029141734799E-2"/>
    <n v="287"/>
  </r>
  <r>
    <s v="SP117"/>
    <x v="1"/>
    <d v="2024-02-18T00:00:00"/>
    <x v="0"/>
    <x v="5"/>
    <n v="1516"/>
    <n v="215"/>
    <n v="332"/>
    <n v="58981"/>
    <n v="36118"/>
    <n v="211"/>
    <x v="2"/>
    <s v="Wrapped2024"/>
    <n v="3.4977365592309385E-2"/>
    <n v="288"/>
  </r>
  <r>
    <s v="SP127"/>
    <x v="0"/>
    <d v="2024-01-28T00:00:00"/>
    <x v="1"/>
    <x v="8"/>
    <n v="1456"/>
    <n v="265"/>
    <n v="137"/>
    <n v="53485"/>
    <n v="59729"/>
    <n v="145"/>
    <x v="5"/>
    <s v="IndieWave"/>
    <n v="3.4738711788351875E-2"/>
    <n v="289"/>
  </r>
  <r>
    <s v="SP285"/>
    <x v="2"/>
    <d v="2025-01-29T00:00:00"/>
    <x v="1"/>
    <x v="1"/>
    <n v="1334"/>
    <n v="357"/>
    <n v="257"/>
    <n v="56910"/>
    <n v="70606"/>
    <n v="228"/>
    <x v="3"/>
    <s v="IndieWave"/>
    <n v="3.4229485151994379E-2"/>
    <n v="290"/>
  </r>
  <r>
    <s v="SP210"/>
    <x v="0"/>
    <d v="2025-05-03T00:00:00"/>
    <x v="0"/>
    <x v="7"/>
    <n v="1010"/>
    <n v="361"/>
    <n v="240"/>
    <n v="47229"/>
    <n v="72573"/>
    <n v="275"/>
    <x v="0"/>
    <s v="ChillVibes"/>
    <n v="3.4110398272247981E-2"/>
    <n v="291"/>
  </r>
  <r>
    <s v="SP258"/>
    <x v="2"/>
    <d v="2025-03-20T00:00:00"/>
    <x v="2"/>
    <x v="5"/>
    <n v="1453"/>
    <n v="156"/>
    <n v="178"/>
    <n v="52980"/>
    <n v="57180"/>
    <n v="286"/>
    <x v="4"/>
    <s v="SummerBeats"/>
    <n v="3.3729709324273313E-2"/>
    <n v="292"/>
  </r>
  <r>
    <s v="SP270"/>
    <x v="0"/>
    <d v="2024-11-13T00:00:00"/>
    <x v="0"/>
    <x v="1"/>
    <n v="1409"/>
    <n v="466"/>
    <n v="105"/>
    <n v="58923"/>
    <n v="38753"/>
    <n v="265"/>
    <x v="6"/>
    <s v="ChillVibes"/>
    <n v="3.3603177027646251E-2"/>
    <n v="293"/>
  </r>
  <r>
    <s v="SP294"/>
    <x v="1"/>
    <d v="2024-12-27T00:00:00"/>
    <x v="1"/>
    <x v="5"/>
    <n v="1436"/>
    <n v="219"/>
    <n v="229"/>
    <n v="58488"/>
    <n v="24314"/>
    <n v="147"/>
    <x v="7"/>
    <s v="IndieWave"/>
    <n v="3.221173574066475E-2"/>
    <n v="294"/>
  </r>
  <r>
    <s v="SP228"/>
    <x v="2"/>
    <d v="2024-05-30T00:00:00"/>
    <x v="2"/>
    <x v="4"/>
    <n v="1060"/>
    <n v="442"/>
    <n v="319"/>
    <n v="57194"/>
    <n v="24258"/>
    <n v="101"/>
    <x v="4"/>
    <s v="SummerBeats"/>
    <n v="3.1839004091338254E-2"/>
    <n v="295"/>
  </r>
  <r>
    <s v="SP211"/>
    <x v="0"/>
    <d v="2024-04-14T00:00:00"/>
    <x v="0"/>
    <x v="3"/>
    <n v="1295"/>
    <n v="153"/>
    <n v="81"/>
    <n v="48350"/>
    <n v="61033"/>
    <n v="232"/>
    <x v="6"/>
    <s v="ChillVibes"/>
    <n v="3.1623578076525334E-2"/>
    <n v="296"/>
  </r>
  <r>
    <s v="SP223"/>
    <x v="0"/>
    <d v="2024-06-19T00:00:00"/>
    <x v="1"/>
    <x v="4"/>
    <n v="1224"/>
    <n v="168"/>
    <n v="199"/>
    <n v="54232"/>
    <n v="52844"/>
    <n v="271"/>
    <x v="5"/>
    <s v="IndieWave"/>
    <n v="2.9336922849977874E-2"/>
    <n v="297"/>
  </r>
  <r>
    <s v="SP130"/>
    <x v="2"/>
    <d v="2024-01-10T00:00:00"/>
    <x v="1"/>
    <x v="2"/>
    <n v="1261"/>
    <n v="190"/>
    <n v="233"/>
    <n v="59888"/>
    <n v="51449"/>
    <n v="205"/>
    <x v="3"/>
    <s v="IndieWave"/>
    <n v="2.811915575741384E-2"/>
    <n v="298"/>
  </r>
  <r>
    <s v="SP138"/>
    <x v="0"/>
    <d v="2024-11-28T00:00:00"/>
    <x v="0"/>
    <x v="1"/>
    <n v="1131"/>
    <n v="100"/>
    <n v="116"/>
    <n v="48437"/>
    <n v="72704"/>
    <n v="236"/>
    <x v="6"/>
    <s v="ChillVibes"/>
    <n v="2.7809319322005904E-2"/>
    <n v="299"/>
  </r>
  <r>
    <s v="SP059"/>
    <x v="2"/>
    <d v="2024-08-10T00:00:00"/>
    <x v="1"/>
    <x v="5"/>
    <n v="1105"/>
    <n v="181"/>
    <n v="55"/>
    <n v="53581"/>
    <n v="74048"/>
    <n v="220"/>
    <x v="3"/>
    <s v="IndieWave"/>
    <n v="2.50275284149232E-2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E60B-CAC8-4DCC-A721-18491299F0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14" firstHeaderRow="0" firstDataRow="1" firstDataCol="1"/>
  <pivotFields count="16"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numFmtId="2" showAll="0"/>
    <pivotField numFmtId="1" showAll="0"/>
    <pivotField dragToRow="0" dragToCol="0" dragToPage="0" showAll="0" defaultSubtotal="0"/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3F825-4BA5-46B8-95DF-967CBC3EC9C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L13" firstHeaderRow="0" firstDataRow="1" firstDataCol="1"/>
  <pivotFields count="16"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>
      <items count="4">
        <item x="2"/>
        <item x="0"/>
        <item x="1"/>
        <item t="default"/>
      </items>
    </pivotField>
    <pivotField showAll="0">
      <items count="11">
        <item sd="0" x="3"/>
        <item sd="0" x="2"/>
        <item sd="0" x="5"/>
        <item sd="0" x="0"/>
        <item sd="0" x="8"/>
        <item sd="0" x="1"/>
        <item sd="0" x="7"/>
        <item sd="0" x="4"/>
        <item sd="0" x="6"/>
        <item sd="0" x="9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9">
        <item x="7"/>
        <item x="6"/>
        <item x="4"/>
        <item x="3"/>
        <item x="1"/>
        <item x="2"/>
        <item x="5"/>
        <item x="0"/>
        <item t="default"/>
      </items>
    </pivotField>
    <pivotField showAll="0"/>
    <pivotField dataField="1" numFmtId="2" showAll="0"/>
    <pivotField numFmtId="1" showAll="0"/>
    <pivotField dataField="1" dragToRow="0" dragToCol="0" dragToPage="0" showAll="0" defaultSubtotal="0"/>
  </pivotFields>
  <rowFields count="1">
    <field x="11"/>
  </rowFields>
  <rowItems count="9">
    <i>
      <x v="5"/>
    </i>
    <i>
      <x v="7"/>
    </i>
    <i>
      <x v="4"/>
    </i>
    <i>
      <x/>
    </i>
    <i>
      <x v="3"/>
    </i>
    <i>
      <x v="1"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 Rate" fld="13" baseField="0" baseItem="0" numFmtId="2"/>
    <dataField name="Rank by engagement rate" fld="15" baseField="1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4B8D2-FCAD-4D14-AD7C-B0AA93C784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5" firstHeaderRow="1" firstDataRow="1" firstDataCol="1"/>
  <pivotFields count="16"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>
      <items count="4">
        <item x="2"/>
        <item x="0"/>
        <item x="1"/>
        <item t="default"/>
      </items>
    </pivotField>
    <pivotField axis="axisRow" showAll="0">
      <items count="11">
        <item sd="0" x="3"/>
        <item sd="0" x="2"/>
        <item sd="0" x="5"/>
        <item sd="0" x="0"/>
        <item sd="0" x="8"/>
        <item sd="0" x="1"/>
        <item sd="0" x="7"/>
        <item sd="0" x="4"/>
        <item sd="0" x="6"/>
        <item sd="0" x="9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axis="axisRow" showAll="0">
      <items count="9">
        <item x="7"/>
        <item x="6"/>
        <item x="4"/>
        <item x="3"/>
        <item x="1"/>
        <item x="2"/>
        <item x="5"/>
        <item x="0"/>
        <item t="default"/>
      </items>
    </pivotField>
    <pivotField showAll="0"/>
    <pivotField numFmtId="2" showAll="0"/>
    <pivotField numFmtId="1" showAll="0"/>
    <pivotField dragToRow="0" dragToCol="0" dragToPage="0" showAll="0" defaultSubtotal="0"/>
  </pivotFields>
  <rowFields count="2">
    <field x="4"/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icks" fld="10" subtotal="average" baseField="0" baseItem="0" numFmtId="1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B1" workbookViewId="0">
      <selection activeCell="F2" sqref="F2:F11"/>
    </sheetView>
  </sheetViews>
  <sheetFormatPr defaultColWidth="14.44140625" defaultRowHeight="15" customHeight="1" x14ac:dyDescent="0.3"/>
  <cols>
    <col min="1" max="1" width="6.77734375" style="1" bestFit="1" customWidth="1"/>
    <col min="2" max="2" width="9.109375" style="1" bestFit="1" customWidth="1"/>
    <col min="3" max="3" width="10.33203125" style="2" bestFit="1" customWidth="1"/>
    <col min="4" max="4" width="11.88671875" style="1" bestFit="1" customWidth="1"/>
    <col min="5" max="5" width="38" bestFit="1" customWidth="1"/>
    <col min="6" max="6" width="5" style="8" bestFit="1" customWidth="1"/>
    <col min="7" max="7" width="6.33203125" style="8" bestFit="1" customWidth="1"/>
    <col min="8" max="8" width="9.77734375" style="8" bestFit="1" customWidth="1"/>
    <col min="9" max="9" width="10.6640625" style="8" bestFit="1" customWidth="1"/>
    <col min="10" max="10" width="6" style="8" bestFit="1" customWidth="1"/>
    <col min="11" max="11" width="5.5546875" style="8" bestFit="1" customWidth="1"/>
    <col min="12" max="12" width="32" style="1" bestFit="1" customWidth="1"/>
    <col min="13" max="13" width="15" style="1" bestFit="1" customWidth="1"/>
    <col min="14" max="14" width="15.88671875" style="16" bestFit="1" customWidth="1"/>
    <col min="15" max="15" width="22.88671875" style="8" bestFit="1" customWidth="1"/>
    <col min="16" max="26" width="8.6640625" customWidth="1"/>
  </cols>
  <sheetData>
    <row r="1" spans="1:15" ht="14.4" x14ac:dyDescent="0.3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9" t="s">
        <v>11</v>
      </c>
      <c r="M1" s="9" t="s">
        <v>12</v>
      </c>
      <c r="N1" s="15" t="s">
        <v>341</v>
      </c>
      <c r="O1" s="11" t="s">
        <v>350</v>
      </c>
    </row>
    <row r="2" spans="1:15" ht="14.4" x14ac:dyDescent="0.3">
      <c r="A2" s="4" t="s">
        <v>36</v>
      </c>
      <c r="B2" s="4" t="s">
        <v>24</v>
      </c>
      <c r="C2" s="5">
        <v>45645</v>
      </c>
      <c r="D2" s="4" t="s">
        <v>25</v>
      </c>
      <c r="E2" s="6" t="s">
        <v>37</v>
      </c>
      <c r="F2" s="7">
        <v>4674</v>
      </c>
      <c r="G2" s="7">
        <v>409</v>
      </c>
      <c r="H2" s="7">
        <v>327</v>
      </c>
      <c r="I2" s="7">
        <v>20756</v>
      </c>
      <c r="J2" s="7">
        <v>63599</v>
      </c>
      <c r="K2" s="7">
        <v>212</v>
      </c>
      <c r="L2" s="4" t="s">
        <v>17</v>
      </c>
      <c r="M2" s="4" t="s">
        <v>18</v>
      </c>
      <c r="N2" s="16">
        <f t="shared" ref="N2:N65" si="0">(F2+G2+H2)/I2</f>
        <v>0.26064752360763155</v>
      </c>
      <c r="O2" s="8">
        <f>RANK(N2,N:N,0)</f>
        <v>1</v>
      </c>
    </row>
    <row r="3" spans="1:15" ht="14.4" x14ac:dyDescent="0.3">
      <c r="A3" s="4" t="s">
        <v>146</v>
      </c>
      <c r="B3" s="4" t="s">
        <v>24</v>
      </c>
      <c r="C3" s="5">
        <v>45677</v>
      </c>
      <c r="D3" s="4" t="s">
        <v>25</v>
      </c>
      <c r="E3" s="6" t="s">
        <v>26</v>
      </c>
      <c r="F3" s="7">
        <v>4619</v>
      </c>
      <c r="G3" s="7">
        <v>272</v>
      </c>
      <c r="H3" s="7">
        <v>57</v>
      </c>
      <c r="I3" s="7">
        <v>21334</v>
      </c>
      <c r="J3" s="7">
        <v>46292</v>
      </c>
      <c r="K3" s="7">
        <v>91</v>
      </c>
      <c r="L3" s="4" t="s">
        <v>17</v>
      </c>
      <c r="M3" s="4" t="s">
        <v>18</v>
      </c>
      <c r="N3" s="16">
        <f t="shared" si="0"/>
        <v>0.23193025217961938</v>
      </c>
      <c r="O3" s="8">
        <f t="shared" ref="O3:O66" si="1">RANK(N3,N:N,0)</f>
        <v>2</v>
      </c>
    </row>
    <row r="4" spans="1:15" ht="14.4" x14ac:dyDescent="0.3">
      <c r="A4" s="4" t="s">
        <v>226</v>
      </c>
      <c r="B4" s="4" t="s">
        <v>24</v>
      </c>
      <c r="C4" s="5">
        <v>45459</v>
      </c>
      <c r="D4" s="4" t="s">
        <v>25</v>
      </c>
      <c r="E4" s="6" t="s">
        <v>20</v>
      </c>
      <c r="F4" s="7">
        <v>4618</v>
      </c>
      <c r="G4" s="7">
        <v>312</v>
      </c>
      <c r="H4" s="7">
        <v>254</v>
      </c>
      <c r="I4" s="7">
        <v>22571</v>
      </c>
      <c r="J4" s="7">
        <v>29453</v>
      </c>
      <c r="K4" s="7">
        <v>197</v>
      </c>
      <c r="L4" s="4" t="s">
        <v>27</v>
      </c>
      <c r="M4" s="4" t="s">
        <v>18</v>
      </c>
      <c r="N4" s="16">
        <f t="shared" si="0"/>
        <v>0.22967524699836073</v>
      </c>
      <c r="O4" s="8">
        <f t="shared" si="1"/>
        <v>3</v>
      </c>
    </row>
    <row r="5" spans="1:15" ht="14.4" x14ac:dyDescent="0.3">
      <c r="A5" s="4" t="s">
        <v>319</v>
      </c>
      <c r="B5" s="4" t="s">
        <v>24</v>
      </c>
      <c r="C5" s="5">
        <v>45676</v>
      </c>
      <c r="D5" s="4" t="s">
        <v>25</v>
      </c>
      <c r="E5" s="6" t="s">
        <v>26</v>
      </c>
      <c r="F5" s="7">
        <v>3507</v>
      </c>
      <c r="G5" s="7">
        <v>295</v>
      </c>
      <c r="H5" s="7">
        <v>371</v>
      </c>
      <c r="I5" s="7">
        <v>20410</v>
      </c>
      <c r="J5" s="7">
        <v>53965</v>
      </c>
      <c r="K5" s="7">
        <v>212</v>
      </c>
      <c r="L5" s="4" t="s">
        <v>17</v>
      </c>
      <c r="M5" s="4" t="s">
        <v>18</v>
      </c>
      <c r="N5" s="16">
        <f t="shared" si="0"/>
        <v>0.20445859872611466</v>
      </c>
      <c r="O5" s="8">
        <f t="shared" si="1"/>
        <v>4</v>
      </c>
    </row>
    <row r="6" spans="1:15" ht="14.4" x14ac:dyDescent="0.3">
      <c r="A6" s="4" t="s">
        <v>90</v>
      </c>
      <c r="B6" s="4" t="s">
        <v>24</v>
      </c>
      <c r="C6" s="5">
        <v>45769</v>
      </c>
      <c r="D6" s="4" t="s">
        <v>15</v>
      </c>
      <c r="E6" s="6" t="s">
        <v>16</v>
      </c>
      <c r="F6" s="7">
        <v>4401</v>
      </c>
      <c r="G6" s="7">
        <v>421</v>
      </c>
      <c r="H6" s="7">
        <v>216</v>
      </c>
      <c r="I6" s="7">
        <v>24890</v>
      </c>
      <c r="J6" s="7">
        <v>54361</v>
      </c>
      <c r="K6" s="7">
        <v>148</v>
      </c>
      <c r="L6" s="4" t="s">
        <v>42</v>
      </c>
      <c r="M6" s="4" t="s">
        <v>18</v>
      </c>
      <c r="N6" s="16">
        <f t="shared" si="0"/>
        <v>0.20241060666934513</v>
      </c>
      <c r="O6" s="8">
        <f t="shared" si="1"/>
        <v>5</v>
      </c>
    </row>
    <row r="7" spans="1:15" ht="14.4" x14ac:dyDescent="0.3">
      <c r="A7" s="4" t="s">
        <v>62</v>
      </c>
      <c r="B7" s="4" t="s">
        <v>14</v>
      </c>
      <c r="C7" s="5">
        <v>45823</v>
      </c>
      <c r="D7" s="4" t="s">
        <v>15</v>
      </c>
      <c r="E7" s="6" t="s">
        <v>35</v>
      </c>
      <c r="F7" s="7">
        <v>4896</v>
      </c>
      <c r="G7" s="7">
        <v>466</v>
      </c>
      <c r="H7" s="7">
        <v>233</v>
      </c>
      <c r="I7" s="7">
        <v>28621</v>
      </c>
      <c r="J7" s="7">
        <v>34270</v>
      </c>
      <c r="K7" s="7">
        <v>84</v>
      </c>
      <c r="L7" s="4" t="s">
        <v>17</v>
      </c>
      <c r="M7" s="4" t="s">
        <v>18</v>
      </c>
      <c r="N7" s="16">
        <f t="shared" si="0"/>
        <v>0.19548583208133888</v>
      </c>
      <c r="O7" s="8">
        <f t="shared" si="1"/>
        <v>6</v>
      </c>
    </row>
    <row r="8" spans="1:15" ht="14.4" x14ac:dyDescent="0.3">
      <c r="A8" s="4" t="s">
        <v>197</v>
      </c>
      <c r="B8" s="4" t="s">
        <v>31</v>
      </c>
      <c r="C8" s="5">
        <v>45718</v>
      </c>
      <c r="D8" s="4" t="s">
        <v>15</v>
      </c>
      <c r="E8" s="6" t="s">
        <v>49</v>
      </c>
      <c r="F8" s="7">
        <v>4425</v>
      </c>
      <c r="G8" s="7">
        <v>185</v>
      </c>
      <c r="H8" s="7">
        <v>162</v>
      </c>
      <c r="I8" s="7">
        <v>24610</v>
      </c>
      <c r="J8" s="7">
        <v>21342</v>
      </c>
      <c r="K8" s="7">
        <v>158</v>
      </c>
      <c r="L8" s="4" t="s">
        <v>33</v>
      </c>
      <c r="M8" s="4" t="s">
        <v>22</v>
      </c>
      <c r="N8" s="16">
        <f t="shared" si="0"/>
        <v>0.19390491670052823</v>
      </c>
      <c r="O8" s="8">
        <f t="shared" si="1"/>
        <v>7</v>
      </c>
    </row>
    <row r="9" spans="1:15" ht="14.4" x14ac:dyDescent="0.3">
      <c r="A9" s="4" t="s">
        <v>288</v>
      </c>
      <c r="B9" s="4" t="s">
        <v>31</v>
      </c>
      <c r="C9" s="5">
        <v>45457</v>
      </c>
      <c r="D9" s="4" t="s">
        <v>57</v>
      </c>
      <c r="E9" s="6" t="s">
        <v>29</v>
      </c>
      <c r="F9" s="7">
        <v>4722</v>
      </c>
      <c r="G9" s="7">
        <v>310</v>
      </c>
      <c r="H9" s="7">
        <v>344</v>
      </c>
      <c r="I9" s="7">
        <v>27911</v>
      </c>
      <c r="J9" s="7">
        <v>19000</v>
      </c>
      <c r="K9" s="7">
        <v>225</v>
      </c>
      <c r="L9" s="4" t="s">
        <v>58</v>
      </c>
      <c r="M9" s="4" t="s">
        <v>59</v>
      </c>
      <c r="N9" s="16">
        <f t="shared" si="0"/>
        <v>0.19261223173659131</v>
      </c>
      <c r="O9" s="8">
        <f t="shared" si="1"/>
        <v>8</v>
      </c>
    </row>
    <row r="10" spans="1:15" ht="14.4" x14ac:dyDescent="0.3">
      <c r="A10" s="4" t="s">
        <v>176</v>
      </c>
      <c r="B10" s="4" t="s">
        <v>24</v>
      </c>
      <c r="C10" s="5">
        <v>45615</v>
      </c>
      <c r="D10" s="4" t="s">
        <v>15</v>
      </c>
      <c r="E10" s="6" t="s">
        <v>41</v>
      </c>
      <c r="F10" s="7">
        <v>3728</v>
      </c>
      <c r="G10" s="7">
        <v>271</v>
      </c>
      <c r="H10" s="7">
        <v>275</v>
      </c>
      <c r="I10" s="7">
        <v>22827</v>
      </c>
      <c r="J10" s="7">
        <v>37034</v>
      </c>
      <c r="K10" s="7">
        <v>199</v>
      </c>
      <c r="L10" s="4" t="s">
        <v>42</v>
      </c>
      <c r="M10" s="4" t="s">
        <v>18</v>
      </c>
      <c r="N10" s="16">
        <f t="shared" si="0"/>
        <v>0.18723441538528934</v>
      </c>
      <c r="O10" s="8">
        <f t="shared" si="1"/>
        <v>9</v>
      </c>
    </row>
    <row r="11" spans="1:15" ht="14.4" x14ac:dyDescent="0.3">
      <c r="A11" s="4" t="s">
        <v>108</v>
      </c>
      <c r="B11" s="4" t="s">
        <v>24</v>
      </c>
      <c r="C11" s="5">
        <v>45379</v>
      </c>
      <c r="D11" s="4" t="s">
        <v>15</v>
      </c>
      <c r="E11" s="6" t="s">
        <v>32</v>
      </c>
      <c r="F11" s="7">
        <v>3276</v>
      </c>
      <c r="G11" s="7">
        <v>421</v>
      </c>
      <c r="H11" s="7">
        <v>114</v>
      </c>
      <c r="I11" s="7">
        <v>20580</v>
      </c>
      <c r="J11" s="7">
        <v>30324</v>
      </c>
      <c r="K11" s="7">
        <v>221</v>
      </c>
      <c r="L11" s="4" t="s">
        <v>45</v>
      </c>
      <c r="M11" s="4" t="s">
        <v>22</v>
      </c>
      <c r="N11" s="16">
        <f t="shared" si="0"/>
        <v>0.18517978620019437</v>
      </c>
      <c r="O11" s="8">
        <f t="shared" si="1"/>
        <v>10</v>
      </c>
    </row>
    <row r="12" spans="1:15" ht="14.4" x14ac:dyDescent="0.3">
      <c r="A12" s="4" t="s">
        <v>128</v>
      </c>
      <c r="B12" s="4" t="s">
        <v>24</v>
      </c>
      <c r="C12" s="5">
        <v>45705</v>
      </c>
      <c r="D12" s="4" t="s">
        <v>25</v>
      </c>
      <c r="E12" s="6" t="s">
        <v>35</v>
      </c>
      <c r="F12" s="7">
        <v>4796</v>
      </c>
      <c r="G12" s="7">
        <v>427</v>
      </c>
      <c r="H12" s="7">
        <v>339</v>
      </c>
      <c r="I12" s="7">
        <v>30752</v>
      </c>
      <c r="J12" s="7">
        <v>33870</v>
      </c>
      <c r="K12" s="7">
        <v>298</v>
      </c>
      <c r="L12" s="4" t="s">
        <v>17</v>
      </c>
      <c r="M12" s="4" t="s">
        <v>18</v>
      </c>
      <c r="N12" s="16">
        <f t="shared" si="0"/>
        <v>0.18086628511966701</v>
      </c>
      <c r="O12" s="8">
        <f t="shared" si="1"/>
        <v>11</v>
      </c>
    </row>
    <row r="13" spans="1:15" ht="14.4" x14ac:dyDescent="0.3">
      <c r="A13" s="4" t="s">
        <v>253</v>
      </c>
      <c r="B13" s="4" t="s">
        <v>14</v>
      </c>
      <c r="C13" s="5">
        <v>45832</v>
      </c>
      <c r="D13" s="4" t="s">
        <v>25</v>
      </c>
      <c r="E13" s="6" t="s">
        <v>37</v>
      </c>
      <c r="F13" s="7">
        <v>4902</v>
      </c>
      <c r="G13" s="7">
        <v>422</v>
      </c>
      <c r="H13" s="7">
        <v>376</v>
      </c>
      <c r="I13" s="7">
        <v>31674</v>
      </c>
      <c r="J13" s="7">
        <v>53225</v>
      </c>
      <c r="K13" s="7">
        <v>147</v>
      </c>
      <c r="L13" s="4" t="s">
        <v>42</v>
      </c>
      <c r="M13" s="4" t="s">
        <v>55</v>
      </c>
      <c r="N13" s="16">
        <f t="shared" si="0"/>
        <v>0.17995832544042431</v>
      </c>
      <c r="O13" s="8">
        <f t="shared" si="1"/>
        <v>12</v>
      </c>
    </row>
    <row r="14" spans="1:15" ht="14.4" x14ac:dyDescent="0.3">
      <c r="A14" s="4" t="s">
        <v>290</v>
      </c>
      <c r="B14" s="4" t="s">
        <v>24</v>
      </c>
      <c r="C14" s="5">
        <v>45792</v>
      </c>
      <c r="D14" s="4" t="s">
        <v>15</v>
      </c>
      <c r="E14" s="6" t="s">
        <v>51</v>
      </c>
      <c r="F14" s="7">
        <v>4782</v>
      </c>
      <c r="G14" s="7">
        <v>210</v>
      </c>
      <c r="H14" s="7">
        <v>311</v>
      </c>
      <c r="I14" s="7">
        <v>29793</v>
      </c>
      <c r="J14" s="7">
        <v>37543</v>
      </c>
      <c r="K14" s="7">
        <v>145</v>
      </c>
      <c r="L14" s="4" t="s">
        <v>42</v>
      </c>
      <c r="M14" s="4" t="s">
        <v>18</v>
      </c>
      <c r="N14" s="16">
        <f t="shared" si="0"/>
        <v>0.17799483100057059</v>
      </c>
      <c r="O14" s="8">
        <f t="shared" si="1"/>
        <v>13</v>
      </c>
    </row>
    <row r="15" spans="1:15" ht="14.4" x14ac:dyDescent="0.3">
      <c r="A15" s="4" t="s">
        <v>107</v>
      </c>
      <c r="B15" s="4" t="s">
        <v>31</v>
      </c>
      <c r="C15" s="5">
        <v>45384</v>
      </c>
      <c r="D15" s="4" t="s">
        <v>57</v>
      </c>
      <c r="E15" s="6" t="s">
        <v>51</v>
      </c>
      <c r="F15" s="7">
        <v>4563</v>
      </c>
      <c r="G15" s="7">
        <v>488</v>
      </c>
      <c r="H15" s="7">
        <v>356</v>
      </c>
      <c r="I15" s="7">
        <v>30619</v>
      </c>
      <c r="J15" s="7">
        <v>23328</v>
      </c>
      <c r="K15" s="7">
        <v>267</v>
      </c>
      <c r="L15" s="4" t="s">
        <v>58</v>
      </c>
      <c r="M15" s="4" t="s">
        <v>59</v>
      </c>
      <c r="N15" s="16">
        <f t="shared" si="0"/>
        <v>0.17658969920637513</v>
      </c>
      <c r="O15" s="8">
        <f t="shared" si="1"/>
        <v>14</v>
      </c>
    </row>
    <row r="16" spans="1:15" ht="14.4" x14ac:dyDescent="0.3">
      <c r="A16" s="4" t="s">
        <v>130</v>
      </c>
      <c r="B16" s="4" t="s">
        <v>24</v>
      </c>
      <c r="C16" s="5">
        <v>45495</v>
      </c>
      <c r="D16" s="4" t="s">
        <v>25</v>
      </c>
      <c r="E16" s="6" t="s">
        <v>29</v>
      </c>
      <c r="F16" s="7">
        <v>3336</v>
      </c>
      <c r="G16" s="7">
        <v>229</v>
      </c>
      <c r="H16" s="7">
        <v>337</v>
      </c>
      <c r="I16" s="7">
        <v>22117</v>
      </c>
      <c r="J16" s="7">
        <v>26205</v>
      </c>
      <c r="K16" s="7">
        <v>160</v>
      </c>
      <c r="L16" s="4" t="s">
        <v>27</v>
      </c>
      <c r="M16" s="4" t="s">
        <v>18</v>
      </c>
      <c r="N16" s="16">
        <f t="shared" si="0"/>
        <v>0.17642537414658407</v>
      </c>
      <c r="O16" s="8">
        <f t="shared" si="1"/>
        <v>15</v>
      </c>
    </row>
    <row r="17" spans="1:15" ht="14.4" x14ac:dyDescent="0.3">
      <c r="A17" s="4" t="s">
        <v>217</v>
      </c>
      <c r="B17" s="4" t="s">
        <v>24</v>
      </c>
      <c r="C17" s="5">
        <v>45606</v>
      </c>
      <c r="D17" s="4" t="s">
        <v>15</v>
      </c>
      <c r="E17" s="6" t="s">
        <v>20</v>
      </c>
      <c r="F17" s="7">
        <v>4823</v>
      </c>
      <c r="G17" s="7">
        <v>489</v>
      </c>
      <c r="H17" s="7">
        <v>302</v>
      </c>
      <c r="I17" s="7">
        <v>32470</v>
      </c>
      <c r="J17" s="7">
        <v>31861</v>
      </c>
      <c r="K17" s="7">
        <v>178</v>
      </c>
      <c r="L17" s="4" t="s">
        <v>45</v>
      </c>
      <c r="M17" s="4" t="s">
        <v>22</v>
      </c>
      <c r="N17" s="16">
        <f t="shared" si="0"/>
        <v>0.1728980597474592</v>
      </c>
      <c r="O17" s="8">
        <f t="shared" si="1"/>
        <v>16</v>
      </c>
    </row>
    <row r="18" spans="1:15" ht="14.4" x14ac:dyDescent="0.3">
      <c r="A18" s="4" t="s">
        <v>279</v>
      </c>
      <c r="B18" s="4" t="s">
        <v>24</v>
      </c>
      <c r="C18" s="5">
        <v>45639</v>
      </c>
      <c r="D18" s="4" t="s">
        <v>25</v>
      </c>
      <c r="E18" s="6" t="s">
        <v>26</v>
      </c>
      <c r="F18" s="7">
        <v>4984</v>
      </c>
      <c r="G18" s="7">
        <v>300</v>
      </c>
      <c r="H18" s="7">
        <v>338</v>
      </c>
      <c r="I18" s="7">
        <v>32900</v>
      </c>
      <c r="J18" s="7">
        <v>31691</v>
      </c>
      <c r="K18" s="7">
        <v>160</v>
      </c>
      <c r="L18" s="4" t="s">
        <v>27</v>
      </c>
      <c r="M18" s="4" t="s">
        <v>18</v>
      </c>
      <c r="N18" s="16">
        <f t="shared" si="0"/>
        <v>0.17088145896656534</v>
      </c>
      <c r="O18" s="8">
        <f t="shared" si="1"/>
        <v>17</v>
      </c>
    </row>
    <row r="19" spans="1:15" ht="14.4" x14ac:dyDescent="0.3">
      <c r="A19" s="4" t="s">
        <v>274</v>
      </c>
      <c r="B19" s="4" t="s">
        <v>24</v>
      </c>
      <c r="C19" s="5">
        <v>45324</v>
      </c>
      <c r="D19" s="4" t="s">
        <v>15</v>
      </c>
      <c r="E19" s="6" t="s">
        <v>49</v>
      </c>
      <c r="F19" s="7">
        <v>3818</v>
      </c>
      <c r="G19" s="7">
        <v>115</v>
      </c>
      <c r="H19" s="7">
        <v>286</v>
      </c>
      <c r="I19" s="7">
        <v>25127</v>
      </c>
      <c r="J19" s="7">
        <v>22277</v>
      </c>
      <c r="K19" s="7">
        <v>263</v>
      </c>
      <c r="L19" s="4" t="s">
        <v>42</v>
      </c>
      <c r="M19" s="4" t="s">
        <v>18</v>
      </c>
      <c r="N19" s="16">
        <f t="shared" si="0"/>
        <v>0.16790703227603773</v>
      </c>
      <c r="O19" s="8">
        <f t="shared" si="1"/>
        <v>18</v>
      </c>
    </row>
    <row r="20" spans="1:15" ht="14.4" x14ac:dyDescent="0.3">
      <c r="A20" s="4" t="s">
        <v>223</v>
      </c>
      <c r="B20" s="4" t="s">
        <v>24</v>
      </c>
      <c r="C20" s="5">
        <v>45496</v>
      </c>
      <c r="D20" s="4" t="s">
        <v>15</v>
      </c>
      <c r="E20" s="6" t="s">
        <v>41</v>
      </c>
      <c r="F20" s="7">
        <v>3204</v>
      </c>
      <c r="G20" s="7">
        <v>398</v>
      </c>
      <c r="H20" s="7">
        <v>85</v>
      </c>
      <c r="I20" s="7">
        <v>22020</v>
      </c>
      <c r="J20" s="7">
        <v>58353</v>
      </c>
      <c r="K20" s="7">
        <v>286</v>
      </c>
      <c r="L20" s="4" t="s">
        <v>45</v>
      </c>
      <c r="M20" s="4" t="s">
        <v>22</v>
      </c>
      <c r="N20" s="16">
        <f t="shared" si="0"/>
        <v>0.16743869209809265</v>
      </c>
      <c r="O20" s="8">
        <f t="shared" si="1"/>
        <v>19</v>
      </c>
    </row>
    <row r="21" spans="1:15" ht="15.75" customHeight="1" x14ac:dyDescent="0.3">
      <c r="A21" s="4" t="s">
        <v>151</v>
      </c>
      <c r="B21" s="4" t="s">
        <v>31</v>
      </c>
      <c r="C21" s="5">
        <v>45493</v>
      </c>
      <c r="D21" s="4" t="s">
        <v>57</v>
      </c>
      <c r="E21" s="6" t="s">
        <v>32</v>
      </c>
      <c r="F21" s="7">
        <v>4955</v>
      </c>
      <c r="G21" s="7">
        <v>299</v>
      </c>
      <c r="H21" s="7">
        <v>345</v>
      </c>
      <c r="I21" s="7">
        <v>33644</v>
      </c>
      <c r="J21" s="7">
        <v>43547</v>
      </c>
      <c r="K21" s="7">
        <v>194</v>
      </c>
      <c r="L21" s="4" t="s">
        <v>58</v>
      </c>
      <c r="M21" s="4" t="s">
        <v>59</v>
      </c>
      <c r="N21" s="16">
        <f t="shared" si="0"/>
        <v>0.16641897515158721</v>
      </c>
      <c r="O21" s="8">
        <f t="shared" si="1"/>
        <v>20</v>
      </c>
    </row>
    <row r="22" spans="1:15" ht="15.75" customHeight="1" x14ac:dyDescent="0.3">
      <c r="A22" s="4" t="s">
        <v>177</v>
      </c>
      <c r="B22" s="4" t="s">
        <v>24</v>
      </c>
      <c r="C22" s="5">
        <v>45387</v>
      </c>
      <c r="D22" s="4" t="s">
        <v>25</v>
      </c>
      <c r="E22" s="6" t="s">
        <v>26</v>
      </c>
      <c r="F22" s="7">
        <v>4965</v>
      </c>
      <c r="G22" s="7">
        <v>175</v>
      </c>
      <c r="H22" s="7">
        <v>307</v>
      </c>
      <c r="I22" s="7">
        <v>32793</v>
      </c>
      <c r="J22" s="7">
        <v>43412</v>
      </c>
      <c r="K22" s="7">
        <v>296</v>
      </c>
      <c r="L22" s="4" t="s">
        <v>17</v>
      </c>
      <c r="M22" s="4" t="s">
        <v>18</v>
      </c>
      <c r="N22" s="16">
        <f t="shared" si="0"/>
        <v>0.16610252187966945</v>
      </c>
      <c r="O22" s="8">
        <f t="shared" si="1"/>
        <v>21</v>
      </c>
    </row>
    <row r="23" spans="1:15" ht="15.75" customHeight="1" x14ac:dyDescent="0.3">
      <c r="A23" s="4" t="s">
        <v>286</v>
      </c>
      <c r="B23" s="4" t="s">
        <v>24</v>
      </c>
      <c r="C23" s="5">
        <v>45481</v>
      </c>
      <c r="D23" s="4" t="s">
        <v>25</v>
      </c>
      <c r="E23" s="6" t="s">
        <v>41</v>
      </c>
      <c r="F23" s="7">
        <v>2981</v>
      </c>
      <c r="G23" s="7">
        <v>258</v>
      </c>
      <c r="H23" s="7">
        <v>168</v>
      </c>
      <c r="I23" s="7">
        <v>20677</v>
      </c>
      <c r="J23" s="7">
        <v>68290</v>
      </c>
      <c r="K23" s="7">
        <v>130</v>
      </c>
      <c r="L23" s="4" t="s">
        <v>17</v>
      </c>
      <c r="M23" s="4" t="s">
        <v>18</v>
      </c>
      <c r="N23" s="16">
        <f t="shared" si="0"/>
        <v>0.16477245248343569</v>
      </c>
      <c r="O23" s="8">
        <f t="shared" si="1"/>
        <v>22</v>
      </c>
    </row>
    <row r="24" spans="1:15" ht="15.75" customHeight="1" x14ac:dyDescent="0.3">
      <c r="A24" s="4" t="s">
        <v>212</v>
      </c>
      <c r="B24" s="4" t="s">
        <v>31</v>
      </c>
      <c r="C24" s="5">
        <v>45400</v>
      </c>
      <c r="D24" s="4" t="s">
        <v>15</v>
      </c>
      <c r="E24" s="6" t="s">
        <v>20</v>
      </c>
      <c r="F24" s="7">
        <v>4023</v>
      </c>
      <c r="G24" s="7">
        <v>293</v>
      </c>
      <c r="H24" s="7">
        <v>91</v>
      </c>
      <c r="I24" s="7">
        <v>26795</v>
      </c>
      <c r="J24" s="7">
        <v>28924</v>
      </c>
      <c r="K24" s="7">
        <v>278</v>
      </c>
      <c r="L24" s="4" t="s">
        <v>33</v>
      </c>
      <c r="M24" s="4" t="s">
        <v>22</v>
      </c>
      <c r="N24" s="16">
        <f t="shared" si="0"/>
        <v>0.16447098339242397</v>
      </c>
      <c r="O24" s="8">
        <f t="shared" si="1"/>
        <v>23</v>
      </c>
    </row>
    <row r="25" spans="1:15" ht="15.75" customHeight="1" x14ac:dyDescent="0.3">
      <c r="A25" s="4" t="s">
        <v>124</v>
      </c>
      <c r="B25" s="4" t="s">
        <v>24</v>
      </c>
      <c r="C25" s="5">
        <v>45507</v>
      </c>
      <c r="D25" s="4" t="s">
        <v>15</v>
      </c>
      <c r="E25" s="6" t="s">
        <v>51</v>
      </c>
      <c r="F25" s="7">
        <v>4247</v>
      </c>
      <c r="G25" s="7">
        <v>390</v>
      </c>
      <c r="H25" s="7">
        <v>213</v>
      </c>
      <c r="I25" s="7">
        <v>29785</v>
      </c>
      <c r="J25" s="7">
        <v>57768</v>
      </c>
      <c r="K25" s="7">
        <v>122</v>
      </c>
      <c r="L25" s="4" t="s">
        <v>42</v>
      </c>
      <c r="M25" s="4" t="s">
        <v>18</v>
      </c>
      <c r="N25" s="16">
        <f t="shared" si="0"/>
        <v>0.16283364109451065</v>
      </c>
      <c r="O25" s="8">
        <f t="shared" si="1"/>
        <v>24</v>
      </c>
    </row>
    <row r="26" spans="1:15" ht="15.75" customHeight="1" x14ac:dyDescent="0.3">
      <c r="A26" s="4" t="s">
        <v>73</v>
      </c>
      <c r="B26" s="4" t="s">
        <v>24</v>
      </c>
      <c r="C26" s="5">
        <v>45574</v>
      </c>
      <c r="D26" s="4" t="s">
        <v>25</v>
      </c>
      <c r="E26" s="6" t="s">
        <v>16</v>
      </c>
      <c r="F26" s="7">
        <v>4929</v>
      </c>
      <c r="G26" s="7">
        <v>182</v>
      </c>
      <c r="H26" s="7">
        <v>95</v>
      </c>
      <c r="I26" s="7">
        <v>32181</v>
      </c>
      <c r="J26" s="7">
        <v>31084</v>
      </c>
      <c r="K26" s="7">
        <v>289</v>
      </c>
      <c r="L26" s="4" t="s">
        <v>39</v>
      </c>
      <c r="M26" s="4" t="s">
        <v>18</v>
      </c>
      <c r="N26" s="16">
        <f t="shared" si="0"/>
        <v>0.16177247444144061</v>
      </c>
      <c r="O26" s="8">
        <f t="shared" si="1"/>
        <v>25</v>
      </c>
    </row>
    <row r="27" spans="1:15" ht="15.75" customHeight="1" x14ac:dyDescent="0.3">
      <c r="A27" s="4" t="s">
        <v>207</v>
      </c>
      <c r="B27" s="4" t="s">
        <v>31</v>
      </c>
      <c r="C27" s="5">
        <v>45684</v>
      </c>
      <c r="D27" s="4" t="s">
        <v>15</v>
      </c>
      <c r="E27" s="6" t="s">
        <v>29</v>
      </c>
      <c r="F27" s="7">
        <v>4294</v>
      </c>
      <c r="G27" s="7">
        <v>423</v>
      </c>
      <c r="H27" s="7">
        <v>93</v>
      </c>
      <c r="I27" s="7">
        <v>29828</v>
      </c>
      <c r="J27" s="7">
        <v>73144</v>
      </c>
      <c r="K27" s="7">
        <v>298</v>
      </c>
      <c r="L27" s="4" t="s">
        <v>33</v>
      </c>
      <c r="M27" s="4" t="s">
        <v>22</v>
      </c>
      <c r="N27" s="16">
        <f t="shared" si="0"/>
        <v>0.1612578785034196</v>
      </c>
      <c r="O27" s="8">
        <f t="shared" si="1"/>
        <v>26</v>
      </c>
    </row>
    <row r="28" spans="1:15" ht="15.75" customHeight="1" x14ac:dyDescent="0.3">
      <c r="A28" s="4" t="s">
        <v>198</v>
      </c>
      <c r="B28" s="4" t="s">
        <v>24</v>
      </c>
      <c r="C28" s="5">
        <v>45737</v>
      </c>
      <c r="D28" s="4" t="s">
        <v>25</v>
      </c>
      <c r="E28" s="6" t="s">
        <v>26</v>
      </c>
      <c r="F28" s="7">
        <v>4609</v>
      </c>
      <c r="G28" s="7">
        <v>427</v>
      </c>
      <c r="H28" s="7">
        <v>395</v>
      </c>
      <c r="I28" s="7">
        <v>33698</v>
      </c>
      <c r="J28" s="7">
        <v>29259</v>
      </c>
      <c r="K28" s="7">
        <v>216</v>
      </c>
      <c r="L28" s="4" t="s">
        <v>39</v>
      </c>
      <c r="M28" s="4" t="s">
        <v>18</v>
      </c>
      <c r="N28" s="16">
        <f t="shared" si="0"/>
        <v>0.16116683482699271</v>
      </c>
      <c r="O28" s="8">
        <f t="shared" si="1"/>
        <v>27</v>
      </c>
    </row>
    <row r="29" spans="1:15" ht="15.75" customHeight="1" x14ac:dyDescent="0.3">
      <c r="A29" s="4" t="s">
        <v>111</v>
      </c>
      <c r="B29" s="4" t="s">
        <v>24</v>
      </c>
      <c r="C29" s="5">
        <v>45302</v>
      </c>
      <c r="D29" s="4" t="s">
        <v>15</v>
      </c>
      <c r="E29" s="6" t="s">
        <v>35</v>
      </c>
      <c r="F29" s="7">
        <v>4218</v>
      </c>
      <c r="G29" s="7">
        <v>247</v>
      </c>
      <c r="H29" s="7">
        <v>183</v>
      </c>
      <c r="I29" s="7">
        <v>28914</v>
      </c>
      <c r="J29" s="7">
        <v>18310</v>
      </c>
      <c r="K29" s="7">
        <v>135</v>
      </c>
      <c r="L29" s="4" t="s">
        <v>45</v>
      </c>
      <c r="M29" s="4" t="s">
        <v>22</v>
      </c>
      <c r="N29" s="16">
        <f t="shared" si="0"/>
        <v>0.1607525766064882</v>
      </c>
      <c r="O29" s="8">
        <f t="shared" si="1"/>
        <v>28</v>
      </c>
    </row>
    <row r="30" spans="1:15" ht="15.75" customHeight="1" x14ac:dyDescent="0.3">
      <c r="A30" s="4" t="s">
        <v>150</v>
      </c>
      <c r="B30" s="4" t="s">
        <v>14</v>
      </c>
      <c r="C30" s="5">
        <v>45469</v>
      </c>
      <c r="D30" s="4" t="s">
        <v>15</v>
      </c>
      <c r="E30" s="6" t="s">
        <v>26</v>
      </c>
      <c r="F30" s="7">
        <v>3253</v>
      </c>
      <c r="G30" s="7">
        <v>483</v>
      </c>
      <c r="H30" s="7">
        <v>336</v>
      </c>
      <c r="I30" s="7">
        <v>25397</v>
      </c>
      <c r="J30" s="7">
        <v>51485</v>
      </c>
      <c r="K30" s="7">
        <v>131</v>
      </c>
      <c r="L30" s="4" t="s">
        <v>21</v>
      </c>
      <c r="M30" s="4" t="s">
        <v>22</v>
      </c>
      <c r="N30" s="16">
        <f t="shared" si="0"/>
        <v>0.16033389770445328</v>
      </c>
      <c r="O30" s="8">
        <f t="shared" si="1"/>
        <v>29</v>
      </c>
    </row>
    <row r="31" spans="1:15" ht="15.75" customHeight="1" x14ac:dyDescent="0.3">
      <c r="A31" s="4" t="s">
        <v>88</v>
      </c>
      <c r="B31" s="4" t="s">
        <v>14</v>
      </c>
      <c r="C31" s="5">
        <v>45693</v>
      </c>
      <c r="D31" s="4" t="s">
        <v>25</v>
      </c>
      <c r="E31" s="6" t="s">
        <v>32</v>
      </c>
      <c r="F31" s="7">
        <v>3074</v>
      </c>
      <c r="G31" s="7">
        <v>371</v>
      </c>
      <c r="H31" s="7">
        <v>348</v>
      </c>
      <c r="I31" s="7">
        <v>24104</v>
      </c>
      <c r="J31" s="7">
        <v>57803</v>
      </c>
      <c r="K31" s="7">
        <v>213</v>
      </c>
      <c r="L31" s="4" t="s">
        <v>42</v>
      </c>
      <c r="M31" s="4" t="s">
        <v>55</v>
      </c>
      <c r="N31" s="16">
        <f t="shared" si="0"/>
        <v>0.15735977431131762</v>
      </c>
      <c r="O31" s="8">
        <f t="shared" si="1"/>
        <v>30</v>
      </c>
    </row>
    <row r="32" spans="1:15" ht="15.75" customHeight="1" x14ac:dyDescent="0.3">
      <c r="A32" s="4" t="s">
        <v>330</v>
      </c>
      <c r="B32" s="4" t="s">
        <v>24</v>
      </c>
      <c r="C32" s="5">
        <v>45517</v>
      </c>
      <c r="D32" s="4" t="s">
        <v>15</v>
      </c>
      <c r="E32" s="6" t="s">
        <v>20</v>
      </c>
      <c r="F32" s="7">
        <v>3418</v>
      </c>
      <c r="G32" s="7">
        <v>107</v>
      </c>
      <c r="H32" s="7">
        <v>221</v>
      </c>
      <c r="I32" s="7">
        <v>23927</v>
      </c>
      <c r="J32" s="7">
        <v>26182</v>
      </c>
      <c r="K32" s="7">
        <v>155</v>
      </c>
      <c r="L32" s="4" t="s">
        <v>45</v>
      </c>
      <c r="M32" s="4" t="s">
        <v>22</v>
      </c>
      <c r="N32" s="16">
        <f t="shared" si="0"/>
        <v>0.1565595352530614</v>
      </c>
      <c r="O32" s="8">
        <f t="shared" si="1"/>
        <v>31</v>
      </c>
    </row>
    <row r="33" spans="1:15" ht="15.75" customHeight="1" x14ac:dyDescent="0.3">
      <c r="A33" s="4" t="s">
        <v>201</v>
      </c>
      <c r="B33" s="4" t="s">
        <v>14</v>
      </c>
      <c r="C33" s="5">
        <v>45803</v>
      </c>
      <c r="D33" s="4" t="s">
        <v>15</v>
      </c>
      <c r="E33" s="6" t="s">
        <v>16</v>
      </c>
      <c r="F33" s="7">
        <v>3086</v>
      </c>
      <c r="G33" s="7">
        <v>148</v>
      </c>
      <c r="H33" s="7">
        <v>310</v>
      </c>
      <c r="I33" s="7">
        <v>22824</v>
      </c>
      <c r="J33" s="7">
        <v>58103</v>
      </c>
      <c r="K33" s="7">
        <v>275</v>
      </c>
      <c r="L33" s="4" t="s">
        <v>21</v>
      </c>
      <c r="M33" s="4" t="s">
        <v>22</v>
      </c>
      <c r="N33" s="16">
        <f t="shared" si="0"/>
        <v>0.1552751489660007</v>
      </c>
      <c r="O33" s="8">
        <f t="shared" si="1"/>
        <v>32</v>
      </c>
    </row>
    <row r="34" spans="1:15" ht="15.75" customHeight="1" x14ac:dyDescent="0.3">
      <c r="A34" s="4" t="s">
        <v>210</v>
      </c>
      <c r="B34" s="4" t="s">
        <v>24</v>
      </c>
      <c r="C34" s="5">
        <v>45619</v>
      </c>
      <c r="D34" s="4" t="s">
        <v>15</v>
      </c>
      <c r="E34" s="6" t="s">
        <v>26</v>
      </c>
      <c r="F34" s="7">
        <v>4318</v>
      </c>
      <c r="G34" s="7">
        <v>371</v>
      </c>
      <c r="H34" s="7">
        <v>329</v>
      </c>
      <c r="I34" s="7">
        <v>32347</v>
      </c>
      <c r="J34" s="7">
        <v>68956</v>
      </c>
      <c r="K34" s="7">
        <v>259</v>
      </c>
      <c r="L34" s="4" t="s">
        <v>45</v>
      </c>
      <c r="M34" s="4" t="s">
        <v>22</v>
      </c>
      <c r="N34" s="16">
        <f t="shared" si="0"/>
        <v>0.15513030574705536</v>
      </c>
      <c r="O34" s="8">
        <f t="shared" si="1"/>
        <v>33</v>
      </c>
    </row>
    <row r="35" spans="1:15" ht="15.75" customHeight="1" x14ac:dyDescent="0.3">
      <c r="A35" s="4" t="s">
        <v>294</v>
      </c>
      <c r="B35" s="4" t="s">
        <v>24</v>
      </c>
      <c r="C35" s="5">
        <v>45691</v>
      </c>
      <c r="D35" s="4" t="s">
        <v>15</v>
      </c>
      <c r="E35" s="6" t="s">
        <v>35</v>
      </c>
      <c r="F35" s="7">
        <v>4995</v>
      </c>
      <c r="G35" s="7">
        <v>231</v>
      </c>
      <c r="H35" s="7">
        <v>94</v>
      </c>
      <c r="I35" s="7">
        <v>34431</v>
      </c>
      <c r="J35" s="7">
        <v>32560</v>
      </c>
      <c r="K35" s="7">
        <v>262</v>
      </c>
      <c r="L35" s="4" t="s">
        <v>42</v>
      </c>
      <c r="M35" s="4" t="s">
        <v>18</v>
      </c>
      <c r="N35" s="16">
        <f t="shared" si="0"/>
        <v>0.15451192239551567</v>
      </c>
      <c r="O35" s="8">
        <f t="shared" si="1"/>
        <v>34</v>
      </c>
    </row>
    <row r="36" spans="1:15" ht="15.75" customHeight="1" x14ac:dyDescent="0.3">
      <c r="A36" s="4" t="s">
        <v>60</v>
      </c>
      <c r="B36" s="4" t="s">
        <v>14</v>
      </c>
      <c r="C36" s="5">
        <v>45478</v>
      </c>
      <c r="D36" s="4" t="s">
        <v>15</v>
      </c>
      <c r="E36" s="6" t="s">
        <v>51</v>
      </c>
      <c r="F36" s="7">
        <v>3753</v>
      </c>
      <c r="G36" s="7">
        <v>411</v>
      </c>
      <c r="H36" s="7">
        <v>308</v>
      </c>
      <c r="I36" s="7">
        <v>29138</v>
      </c>
      <c r="J36" s="7">
        <v>27678</v>
      </c>
      <c r="K36" s="7">
        <v>90</v>
      </c>
      <c r="L36" s="4" t="s">
        <v>21</v>
      </c>
      <c r="M36" s="4" t="s">
        <v>22</v>
      </c>
      <c r="N36" s="16">
        <f t="shared" si="0"/>
        <v>0.15347655981879332</v>
      </c>
      <c r="O36" s="8">
        <f t="shared" si="1"/>
        <v>35</v>
      </c>
    </row>
    <row r="37" spans="1:15" ht="15.75" customHeight="1" x14ac:dyDescent="0.3">
      <c r="A37" s="4" t="s">
        <v>92</v>
      </c>
      <c r="B37" s="4" t="s">
        <v>24</v>
      </c>
      <c r="C37" s="5">
        <v>45539</v>
      </c>
      <c r="D37" s="4" t="s">
        <v>25</v>
      </c>
      <c r="E37" s="6" t="s">
        <v>26</v>
      </c>
      <c r="F37" s="7">
        <v>2613</v>
      </c>
      <c r="G37" s="7">
        <v>455</v>
      </c>
      <c r="H37" s="7">
        <v>228</v>
      </c>
      <c r="I37" s="7">
        <v>21645</v>
      </c>
      <c r="J37" s="7">
        <v>61334</v>
      </c>
      <c r="K37" s="7">
        <v>261</v>
      </c>
      <c r="L37" s="4" t="s">
        <v>39</v>
      </c>
      <c r="M37" s="4" t="s">
        <v>18</v>
      </c>
      <c r="N37" s="16">
        <f t="shared" si="0"/>
        <v>0.15227535227535227</v>
      </c>
      <c r="O37" s="8">
        <f t="shared" si="1"/>
        <v>36</v>
      </c>
    </row>
    <row r="38" spans="1:15" ht="15.75" customHeight="1" x14ac:dyDescent="0.3">
      <c r="A38" s="4" t="s">
        <v>311</v>
      </c>
      <c r="B38" s="4" t="s">
        <v>24</v>
      </c>
      <c r="C38" s="5">
        <v>45693</v>
      </c>
      <c r="D38" s="4" t="s">
        <v>25</v>
      </c>
      <c r="E38" s="6" t="s">
        <v>16</v>
      </c>
      <c r="F38" s="7">
        <v>3029</v>
      </c>
      <c r="G38" s="7">
        <v>440</v>
      </c>
      <c r="H38" s="7">
        <v>66</v>
      </c>
      <c r="I38" s="7">
        <v>23815</v>
      </c>
      <c r="J38" s="7">
        <v>47895</v>
      </c>
      <c r="K38" s="7">
        <v>210</v>
      </c>
      <c r="L38" s="4" t="s">
        <v>39</v>
      </c>
      <c r="M38" s="4" t="s">
        <v>18</v>
      </c>
      <c r="N38" s="16">
        <f t="shared" si="0"/>
        <v>0.14843585975225698</v>
      </c>
      <c r="O38" s="8">
        <f t="shared" si="1"/>
        <v>37</v>
      </c>
    </row>
    <row r="39" spans="1:15" ht="15.75" customHeight="1" x14ac:dyDescent="0.3">
      <c r="A39" s="4" t="s">
        <v>123</v>
      </c>
      <c r="B39" s="4" t="s">
        <v>24</v>
      </c>
      <c r="C39" s="5">
        <v>45660</v>
      </c>
      <c r="D39" s="4" t="s">
        <v>25</v>
      </c>
      <c r="E39" s="6" t="s">
        <v>37</v>
      </c>
      <c r="F39" s="7">
        <v>4845</v>
      </c>
      <c r="G39" s="7">
        <v>158</v>
      </c>
      <c r="H39" s="7">
        <v>84</v>
      </c>
      <c r="I39" s="7">
        <v>34578</v>
      </c>
      <c r="J39" s="7">
        <v>51480</v>
      </c>
      <c r="K39" s="7">
        <v>180</v>
      </c>
      <c r="L39" s="4" t="s">
        <v>17</v>
      </c>
      <c r="M39" s="4" t="s">
        <v>18</v>
      </c>
      <c r="N39" s="16">
        <f t="shared" si="0"/>
        <v>0.1471166637746544</v>
      </c>
      <c r="O39" s="8">
        <f t="shared" si="1"/>
        <v>38</v>
      </c>
    </row>
    <row r="40" spans="1:15" ht="15.75" customHeight="1" x14ac:dyDescent="0.3">
      <c r="A40" s="4" t="s">
        <v>289</v>
      </c>
      <c r="B40" s="4" t="s">
        <v>14</v>
      </c>
      <c r="C40" s="5">
        <v>45357</v>
      </c>
      <c r="D40" s="4" t="s">
        <v>15</v>
      </c>
      <c r="E40" s="6" t="s">
        <v>35</v>
      </c>
      <c r="F40" s="7">
        <v>3529</v>
      </c>
      <c r="G40" s="7">
        <v>263</v>
      </c>
      <c r="H40" s="7">
        <v>107</v>
      </c>
      <c r="I40" s="7">
        <v>26570</v>
      </c>
      <c r="J40" s="7">
        <v>19367</v>
      </c>
      <c r="K40" s="7">
        <v>96</v>
      </c>
      <c r="L40" s="4" t="s">
        <v>21</v>
      </c>
      <c r="M40" s="4" t="s">
        <v>22</v>
      </c>
      <c r="N40" s="16">
        <f t="shared" si="0"/>
        <v>0.14674444862627023</v>
      </c>
      <c r="O40" s="8">
        <f t="shared" si="1"/>
        <v>39</v>
      </c>
    </row>
    <row r="41" spans="1:15" ht="15.75" customHeight="1" x14ac:dyDescent="0.3">
      <c r="A41" s="4" t="s">
        <v>86</v>
      </c>
      <c r="B41" s="4" t="s">
        <v>14</v>
      </c>
      <c r="C41" s="5">
        <v>45334</v>
      </c>
      <c r="D41" s="4" t="s">
        <v>15</v>
      </c>
      <c r="E41" s="6" t="s">
        <v>20</v>
      </c>
      <c r="F41" s="7">
        <v>2923</v>
      </c>
      <c r="G41" s="7">
        <v>330</v>
      </c>
      <c r="H41" s="7">
        <v>250</v>
      </c>
      <c r="I41" s="7">
        <v>23993</v>
      </c>
      <c r="J41" s="7">
        <v>74590</v>
      </c>
      <c r="K41" s="7">
        <v>92</v>
      </c>
      <c r="L41" s="4" t="s">
        <v>21</v>
      </c>
      <c r="M41" s="4" t="s">
        <v>22</v>
      </c>
      <c r="N41" s="16">
        <f t="shared" si="0"/>
        <v>0.14600091693410577</v>
      </c>
      <c r="O41" s="8">
        <f t="shared" si="1"/>
        <v>40</v>
      </c>
    </row>
    <row r="42" spans="1:15" ht="15.75" customHeight="1" x14ac:dyDescent="0.3">
      <c r="A42" s="4" t="s">
        <v>142</v>
      </c>
      <c r="B42" s="4" t="s">
        <v>24</v>
      </c>
      <c r="C42" s="5">
        <v>45591</v>
      </c>
      <c r="D42" s="4" t="s">
        <v>15</v>
      </c>
      <c r="E42" s="6" t="s">
        <v>16</v>
      </c>
      <c r="F42" s="7">
        <v>3036</v>
      </c>
      <c r="G42" s="7">
        <v>293</v>
      </c>
      <c r="H42" s="7">
        <v>115</v>
      </c>
      <c r="I42" s="7">
        <v>23776</v>
      </c>
      <c r="J42" s="7">
        <v>46386</v>
      </c>
      <c r="K42" s="7">
        <v>282</v>
      </c>
      <c r="L42" s="4" t="s">
        <v>42</v>
      </c>
      <c r="M42" s="4" t="s">
        <v>18</v>
      </c>
      <c r="N42" s="16">
        <f t="shared" si="0"/>
        <v>0.14485195154777927</v>
      </c>
      <c r="O42" s="8">
        <f t="shared" si="1"/>
        <v>41</v>
      </c>
    </row>
    <row r="43" spans="1:15" ht="15.75" customHeight="1" x14ac:dyDescent="0.3">
      <c r="A43" s="4" t="s">
        <v>80</v>
      </c>
      <c r="B43" s="4" t="s">
        <v>24</v>
      </c>
      <c r="C43" s="5">
        <v>45818</v>
      </c>
      <c r="D43" s="4" t="s">
        <v>15</v>
      </c>
      <c r="E43" s="6" t="s">
        <v>20</v>
      </c>
      <c r="F43" s="7">
        <v>3615</v>
      </c>
      <c r="G43" s="7">
        <v>192</v>
      </c>
      <c r="H43" s="7">
        <v>162</v>
      </c>
      <c r="I43" s="7">
        <v>27492</v>
      </c>
      <c r="J43" s="7">
        <v>35341</v>
      </c>
      <c r="K43" s="7">
        <v>125</v>
      </c>
      <c r="L43" s="4" t="s">
        <v>42</v>
      </c>
      <c r="M43" s="4" t="s">
        <v>18</v>
      </c>
      <c r="N43" s="16">
        <f t="shared" si="0"/>
        <v>0.14436927106067218</v>
      </c>
      <c r="O43" s="8">
        <f t="shared" si="1"/>
        <v>42</v>
      </c>
    </row>
    <row r="44" spans="1:15" ht="15.75" customHeight="1" x14ac:dyDescent="0.3">
      <c r="A44" s="4" t="s">
        <v>134</v>
      </c>
      <c r="B44" s="4" t="s">
        <v>24</v>
      </c>
      <c r="C44" s="5">
        <v>45609</v>
      </c>
      <c r="D44" s="4" t="s">
        <v>25</v>
      </c>
      <c r="E44" s="6" t="s">
        <v>41</v>
      </c>
      <c r="F44" s="7">
        <v>4628</v>
      </c>
      <c r="G44" s="7">
        <v>257</v>
      </c>
      <c r="H44" s="7">
        <v>397</v>
      </c>
      <c r="I44" s="7">
        <v>36686</v>
      </c>
      <c r="J44" s="7">
        <v>54683</v>
      </c>
      <c r="K44" s="7">
        <v>98</v>
      </c>
      <c r="L44" s="4" t="s">
        <v>17</v>
      </c>
      <c r="M44" s="4" t="s">
        <v>18</v>
      </c>
      <c r="N44" s="16">
        <f t="shared" si="0"/>
        <v>0.1439786294499264</v>
      </c>
      <c r="O44" s="8">
        <f t="shared" si="1"/>
        <v>43</v>
      </c>
    </row>
    <row r="45" spans="1:15" ht="15.75" customHeight="1" x14ac:dyDescent="0.3">
      <c r="A45" s="4" t="s">
        <v>119</v>
      </c>
      <c r="B45" s="4" t="s">
        <v>31</v>
      </c>
      <c r="C45" s="5">
        <v>45304</v>
      </c>
      <c r="D45" s="4" t="s">
        <v>57</v>
      </c>
      <c r="E45" s="6" t="s">
        <v>26</v>
      </c>
      <c r="F45" s="7">
        <v>4781</v>
      </c>
      <c r="G45" s="7">
        <v>191</v>
      </c>
      <c r="H45" s="7">
        <v>122</v>
      </c>
      <c r="I45" s="7">
        <v>35535</v>
      </c>
      <c r="J45" s="7">
        <v>50777</v>
      </c>
      <c r="K45" s="7">
        <v>128</v>
      </c>
      <c r="L45" s="4" t="s">
        <v>58</v>
      </c>
      <c r="M45" s="4" t="s">
        <v>59</v>
      </c>
      <c r="N45" s="16">
        <f t="shared" si="0"/>
        <v>0.14335162515829464</v>
      </c>
      <c r="O45" s="8">
        <f t="shared" si="1"/>
        <v>44</v>
      </c>
    </row>
    <row r="46" spans="1:15" ht="15.75" customHeight="1" x14ac:dyDescent="0.3">
      <c r="A46" s="4" t="s">
        <v>135</v>
      </c>
      <c r="B46" s="4" t="s">
        <v>14</v>
      </c>
      <c r="C46" s="5">
        <v>45373</v>
      </c>
      <c r="D46" s="4" t="s">
        <v>25</v>
      </c>
      <c r="E46" s="6" t="s">
        <v>16</v>
      </c>
      <c r="F46" s="7">
        <v>2319</v>
      </c>
      <c r="G46" s="7">
        <v>484</v>
      </c>
      <c r="H46" s="7">
        <v>193</v>
      </c>
      <c r="I46" s="7">
        <v>21202</v>
      </c>
      <c r="J46" s="7">
        <v>18091</v>
      </c>
      <c r="K46" s="7">
        <v>241</v>
      </c>
      <c r="L46" s="4" t="s">
        <v>42</v>
      </c>
      <c r="M46" s="4" t="s">
        <v>55</v>
      </c>
      <c r="N46" s="16">
        <f t="shared" si="0"/>
        <v>0.14130742382794076</v>
      </c>
      <c r="O46" s="8">
        <f t="shared" si="1"/>
        <v>45</v>
      </c>
    </row>
    <row r="47" spans="1:15" ht="15.75" customHeight="1" x14ac:dyDescent="0.3">
      <c r="A47" s="4" t="s">
        <v>54</v>
      </c>
      <c r="B47" s="4" t="s">
        <v>14</v>
      </c>
      <c r="C47" s="5">
        <v>45325</v>
      </c>
      <c r="D47" s="4" t="s">
        <v>25</v>
      </c>
      <c r="E47" s="6" t="s">
        <v>32</v>
      </c>
      <c r="F47" s="7">
        <v>4281</v>
      </c>
      <c r="G47" s="7">
        <v>101</v>
      </c>
      <c r="H47" s="7">
        <v>163</v>
      </c>
      <c r="I47" s="7">
        <v>32278</v>
      </c>
      <c r="J47" s="7">
        <v>53382</v>
      </c>
      <c r="K47" s="7">
        <v>235</v>
      </c>
      <c r="L47" s="4" t="s">
        <v>42</v>
      </c>
      <c r="M47" s="4" t="s">
        <v>55</v>
      </c>
      <c r="N47" s="16">
        <f t="shared" si="0"/>
        <v>0.1408079806679472</v>
      </c>
      <c r="O47" s="8">
        <f t="shared" si="1"/>
        <v>46</v>
      </c>
    </row>
    <row r="48" spans="1:15" ht="15.75" customHeight="1" x14ac:dyDescent="0.3">
      <c r="A48" s="4" t="s">
        <v>239</v>
      </c>
      <c r="B48" s="4" t="s">
        <v>24</v>
      </c>
      <c r="C48" s="5">
        <v>45484</v>
      </c>
      <c r="D48" s="4" t="s">
        <v>25</v>
      </c>
      <c r="E48" s="6" t="s">
        <v>37</v>
      </c>
      <c r="F48" s="7">
        <v>4247</v>
      </c>
      <c r="G48" s="7">
        <v>179</v>
      </c>
      <c r="H48" s="7">
        <v>175</v>
      </c>
      <c r="I48" s="7">
        <v>32991</v>
      </c>
      <c r="J48" s="7">
        <v>70120</v>
      </c>
      <c r="K48" s="7">
        <v>276</v>
      </c>
      <c r="L48" s="4" t="s">
        <v>17</v>
      </c>
      <c r="M48" s="4" t="s">
        <v>18</v>
      </c>
      <c r="N48" s="16">
        <f t="shared" si="0"/>
        <v>0.13946227759085811</v>
      </c>
      <c r="O48" s="8">
        <f t="shared" si="1"/>
        <v>47</v>
      </c>
    </row>
    <row r="49" spans="1:15" ht="15.75" customHeight="1" x14ac:dyDescent="0.3">
      <c r="A49" s="4" t="s">
        <v>96</v>
      </c>
      <c r="B49" s="4" t="s">
        <v>14</v>
      </c>
      <c r="C49" s="5">
        <v>45707</v>
      </c>
      <c r="D49" s="4" t="s">
        <v>25</v>
      </c>
      <c r="E49" s="6" t="s">
        <v>49</v>
      </c>
      <c r="F49" s="7">
        <v>2422</v>
      </c>
      <c r="G49" s="7">
        <v>455</v>
      </c>
      <c r="H49" s="7">
        <v>376</v>
      </c>
      <c r="I49" s="7">
        <v>23428</v>
      </c>
      <c r="J49" s="7">
        <v>46775</v>
      </c>
      <c r="K49" s="7">
        <v>259</v>
      </c>
      <c r="L49" s="4" t="s">
        <v>42</v>
      </c>
      <c r="M49" s="4" t="s">
        <v>55</v>
      </c>
      <c r="N49" s="16">
        <f t="shared" si="0"/>
        <v>0.13885094758408742</v>
      </c>
      <c r="O49" s="8">
        <f t="shared" si="1"/>
        <v>48</v>
      </c>
    </row>
    <row r="50" spans="1:15" ht="15.75" customHeight="1" x14ac:dyDescent="0.3">
      <c r="A50" s="4" t="s">
        <v>149</v>
      </c>
      <c r="B50" s="4" t="s">
        <v>14</v>
      </c>
      <c r="C50" s="5">
        <v>45617</v>
      </c>
      <c r="D50" s="4" t="s">
        <v>15</v>
      </c>
      <c r="E50" s="6" t="s">
        <v>32</v>
      </c>
      <c r="F50" s="7">
        <v>4581</v>
      </c>
      <c r="G50" s="7">
        <v>181</v>
      </c>
      <c r="H50" s="7">
        <v>112</v>
      </c>
      <c r="I50" s="7">
        <v>35221</v>
      </c>
      <c r="J50" s="7">
        <v>28797</v>
      </c>
      <c r="K50" s="7">
        <v>164</v>
      </c>
      <c r="L50" s="4" t="s">
        <v>17</v>
      </c>
      <c r="M50" s="4" t="s">
        <v>18</v>
      </c>
      <c r="N50" s="16">
        <f t="shared" si="0"/>
        <v>0.13838335084182732</v>
      </c>
      <c r="O50" s="8">
        <f t="shared" si="1"/>
        <v>49</v>
      </c>
    </row>
    <row r="51" spans="1:15" ht="15.75" customHeight="1" x14ac:dyDescent="0.3">
      <c r="A51" s="4" t="s">
        <v>136</v>
      </c>
      <c r="B51" s="4" t="s">
        <v>24</v>
      </c>
      <c r="C51" s="5">
        <v>45367</v>
      </c>
      <c r="D51" s="4" t="s">
        <v>25</v>
      </c>
      <c r="E51" s="6" t="s">
        <v>29</v>
      </c>
      <c r="F51" s="7">
        <v>2895</v>
      </c>
      <c r="G51" s="7">
        <v>292</v>
      </c>
      <c r="H51" s="7">
        <v>90</v>
      </c>
      <c r="I51" s="7">
        <v>24223</v>
      </c>
      <c r="J51" s="7">
        <v>54626</v>
      </c>
      <c r="K51" s="7">
        <v>114</v>
      </c>
      <c r="L51" s="4" t="s">
        <v>17</v>
      </c>
      <c r="M51" s="4" t="s">
        <v>18</v>
      </c>
      <c r="N51" s="16">
        <f t="shared" si="0"/>
        <v>0.13528464682326713</v>
      </c>
      <c r="O51" s="8">
        <f t="shared" si="1"/>
        <v>50</v>
      </c>
    </row>
    <row r="52" spans="1:15" ht="15.75" customHeight="1" x14ac:dyDescent="0.3">
      <c r="A52" s="4" t="s">
        <v>118</v>
      </c>
      <c r="B52" s="4" t="s">
        <v>24</v>
      </c>
      <c r="C52" s="5">
        <v>45678</v>
      </c>
      <c r="D52" s="4" t="s">
        <v>25</v>
      </c>
      <c r="E52" s="6" t="s">
        <v>16</v>
      </c>
      <c r="F52" s="7">
        <v>2494</v>
      </c>
      <c r="G52" s="7">
        <v>494</v>
      </c>
      <c r="H52" s="7">
        <v>55</v>
      </c>
      <c r="I52" s="7">
        <v>22580</v>
      </c>
      <c r="J52" s="7">
        <v>22214</v>
      </c>
      <c r="K52" s="7">
        <v>109</v>
      </c>
      <c r="L52" s="4" t="s">
        <v>27</v>
      </c>
      <c r="M52" s="4" t="s">
        <v>18</v>
      </c>
      <c r="N52" s="16">
        <f t="shared" si="0"/>
        <v>0.13476527900797167</v>
      </c>
      <c r="O52" s="8">
        <f t="shared" si="1"/>
        <v>51</v>
      </c>
    </row>
    <row r="53" spans="1:15" ht="15.75" customHeight="1" x14ac:dyDescent="0.3">
      <c r="A53" s="4" t="s">
        <v>282</v>
      </c>
      <c r="B53" s="4" t="s">
        <v>24</v>
      </c>
      <c r="C53" s="5">
        <v>45759</v>
      </c>
      <c r="D53" s="4" t="s">
        <v>25</v>
      </c>
      <c r="E53" s="6" t="s">
        <v>49</v>
      </c>
      <c r="F53" s="7">
        <v>4315</v>
      </c>
      <c r="G53" s="7">
        <v>208</v>
      </c>
      <c r="H53" s="7">
        <v>273</v>
      </c>
      <c r="I53" s="7">
        <v>35780</v>
      </c>
      <c r="J53" s="7">
        <v>44349</v>
      </c>
      <c r="K53" s="7">
        <v>133</v>
      </c>
      <c r="L53" s="4" t="s">
        <v>39</v>
      </c>
      <c r="M53" s="4" t="s">
        <v>18</v>
      </c>
      <c r="N53" s="16">
        <f t="shared" si="0"/>
        <v>0.13404136389044158</v>
      </c>
      <c r="O53" s="8">
        <f t="shared" si="1"/>
        <v>52</v>
      </c>
    </row>
    <row r="54" spans="1:15" ht="15.75" customHeight="1" x14ac:dyDescent="0.3">
      <c r="A54" s="4" t="s">
        <v>13</v>
      </c>
      <c r="B54" s="4" t="s">
        <v>14</v>
      </c>
      <c r="C54" s="5">
        <v>45781</v>
      </c>
      <c r="D54" s="4" t="s">
        <v>15</v>
      </c>
      <c r="E54" s="6" t="s">
        <v>16</v>
      </c>
      <c r="F54" s="7">
        <v>2414</v>
      </c>
      <c r="G54" s="7">
        <v>245</v>
      </c>
      <c r="H54" s="7">
        <v>137</v>
      </c>
      <c r="I54" s="7">
        <v>21181</v>
      </c>
      <c r="J54" s="7">
        <v>45292</v>
      </c>
      <c r="K54" s="7">
        <v>133</v>
      </c>
      <c r="L54" s="4" t="s">
        <v>17</v>
      </c>
      <c r="M54" s="4" t="s">
        <v>18</v>
      </c>
      <c r="N54" s="16">
        <f t="shared" si="0"/>
        <v>0.13200509890939993</v>
      </c>
      <c r="O54" s="8">
        <f t="shared" si="1"/>
        <v>53</v>
      </c>
    </row>
    <row r="55" spans="1:15" ht="15.75" customHeight="1" x14ac:dyDescent="0.3">
      <c r="A55" s="4" t="s">
        <v>30</v>
      </c>
      <c r="B55" s="4" t="s">
        <v>31</v>
      </c>
      <c r="C55" s="5">
        <v>45388</v>
      </c>
      <c r="D55" s="4" t="s">
        <v>15</v>
      </c>
      <c r="E55" s="6" t="s">
        <v>32</v>
      </c>
      <c r="F55" s="7">
        <v>2748</v>
      </c>
      <c r="G55" s="7">
        <v>145</v>
      </c>
      <c r="H55" s="7">
        <v>315</v>
      </c>
      <c r="I55" s="7">
        <v>24401</v>
      </c>
      <c r="J55" s="7">
        <v>61182</v>
      </c>
      <c r="K55" s="7">
        <v>200</v>
      </c>
      <c r="L55" s="4" t="s">
        <v>33</v>
      </c>
      <c r="M55" s="4" t="s">
        <v>22</v>
      </c>
      <c r="N55" s="16">
        <f t="shared" si="0"/>
        <v>0.1314700217204213</v>
      </c>
      <c r="O55" s="8">
        <f t="shared" si="1"/>
        <v>54</v>
      </c>
    </row>
    <row r="56" spans="1:15" ht="15.75" customHeight="1" x14ac:dyDescent="0.3">
      <c r="A56" s="4" t="s">
        <v>277</v>
      </c>
      <c r="B56" s="4" t="s">
        <v>31</v>
      </c>
      <c r="C56" s="5">
        <v>45305</v>
      </c>
      <c r="D56" s="4" t="s">
        <v>15</v>
      </c>
      <c r="E56" s="6" t="s">
        <v>35</v>
      </c>
      <c r="F56" s="7">
        <v>4502</v>
      </c>
      <c r="G56" s="7">
        <v>238</v>
      </c>
      <c r="H56" s="7">
        <v>386</v>
      </c>
      <c r="I56" s="7">
        <v>39198</v>
      </c>
      <c r="J56" s="7">
        <v>25050</v>
      </c>
      <c r="K56" s="7">
        <v>297</v>
      </c>
      <c r="L56" s="4" t="s">
        <v>33</v>
      </c>
      <c r="M56" s="4" t="s">
        <v>22</v>
      </c>
      <c r="N56" s="16">
        <f t="shared" si="0"/>
        <v>0.13077197816215114</v>
      </c>
      <c r="O56" s="8">
        <f t="shared" si="1"/>
        <v>55</v>
      </c>
    </row>
    <row r="57" spans="1:15" ht="15.75" customHeight="1" x14ac:dyDescent="0.3">
      <c r="A57" s="4" t="s">
        <v>43</v>
      </c>
      <c r="B57" s="4" t="s">
        <v>24</v>
      </c>
      <c r="C57" s="5">
        <v>45630</v>
      </c>
      <c r="D57" s="4" t="s">
        <v>15</v>
      </c>
      <c r="E57" s="6" t="s">
        <v>29</v>
      </c>
      <c r="F57" s="7">
        <v>2357</v>
      </c>
      <c r="G57" s="7">
        <v>274</v>
      </c>
      <c r="H57" s="7">
        <v>172</v>
      </c>
      <c r="I57" s="7">
        <v>21566</v>
      </c>
      <c r="J57" s="7">
        <v>66829</v>
      </c>
      <c r="K57" s="7">
        <v>284</v>
      </c>
      <c r="L57" s="4" t="s">
        <v>42</v>
      </c>
      <c r="M57" s="4" t="s">
        <v>18</v>
      </c>
      <c r="N57" s="16">
        <f t="shared" si="0"/>
        <v>0.12997310581470833</v>
      </c>
      <c r="O57" s="8">
        <f t="shared" si="1"/>
        <v>56</v>
      </c>
    </row>
    <row r="58" spans="1:15" ht="15.75" customHeight="1" x14ac:dyDescent="0.3">
      <c r="A58" s="4" t="s">
        <v>332</v>
      </c>
      <c r="B58" s="4" t="s">
        <v>24</v>
      </c>
      <c r="C58" s="5">
        <v>45599</v>
      </c>
      <c r="D58" s="4" t="s">
        <v>25</v>
      </c>
      <c r="E58" s="6" t="s">
        <v>20</v>
      </c>
      <c r="F58" s="7">
        <v>3061</v>
      </c>
      <c r="G58" s="7">
        <v>320</v>
      </c>
      <c r="H58" s="7">
        <v>76</v>
      </c>
      <c r="I58" s="7">
        <v>26640</v>
      </c>
      <c r="J58" s="7">
        <v>24306</v>
      </c>
      <c r="K58" s="7">
        <v>112</v>
      </c>
      <c r="L58" s="4" t="s">
        <v>27</v>
      </c>
      <c r="M58" s="4" t="s">
        <v>18</v>
      </c>
      <c r="N58" s="16">
        <f t="shared" si="0"/>
        <v>0.12976726726726726</v>
      </c>
      <c r="O58" s="8">
        <f t="shared" si="1"/>
        <v>57</v>
      </c>
    </row>
    <row r="59" spans="1:15" ht="15.75" customHeight="1" x14ac:dyDescent="0.3">
      <c r="A59" s="4" t="s">
        <v>227</v>
      </c>
      <c r="B59" s="4" t="s">
        <v>31</v>
      </c>
      <c r="C59" s="5">
        <v>45795</v>
      </c>
      <c r="D59" s="4" t="s">
        <v>57</v>
      </c>
      <c r="E59" s="6" t="s">
        <v>29</v>
      </c>
      <c r="F59" s="7">
        <v>4210</v>
      </c>
      <c r="G59" s="7">
        <v>319</v>
      </c>
      <c r="H59" s="7">
        <v>350</v>
      </c>
      <c r="I59" s="7">
        <v>37762</v>
      </c>
      <c r="J59" s="7">
        <v>55162</v>
      </c>
      <c r="K59" s="7">
        <v>204</v>
      </c>
      <c r="L59" s="4" t="s">
        <v>58</v>
      </c>
      <c r="M59" s="4" t="s">
        <v>59</v>
      </c>
      <c r="N59" s="16">
        <f t="shared" si="0"/>
        <v>0.12920396165457337</v>
      </c>
      <c r="O59" s="8">
        <f t="shared" si="1"/>
        <v>58</v>
      </c>
    </row>
    <row r="60" spans="1:15" ht="15.75" customHeight="1" x14ac:dyDescent="0.3">
      <c r="A60" s="4" t="s">
        <v>261</v>
      </c>
      <c r="B60" s="4" t="s">
        <v>24</v>
      </c>
      <c r="C60" s="5">
        <v>45786</v>
      </c>
      <c r="D60" s="4" t="s">
        <v>25</v>
      </c>
      <c r="E60" s="6" t="s">
        <v>32</v>
      </c>
      <c r="F60" s="7">
        <v>2778</v>
      </c>
      <c r="G60" s="7">
        <v>241</v>
      </c>
      <c r="H60" s="7">
        <v>317</v>
      </c>
      <c r="I60" s="7">
        <v>26247</v>
      </c>
      <c r="J60" s="7">
        <v>20677</v>
      </c>
      <c r="K60" s="7">
        <v>282</v>
      </c>
      <c r="L60" s="4" t="s">
        <v>27</v>
      </c>
      <c r="M60" s="4" t="s">
        <v>18</v>
      </c>
      <c r="N60" s="16">
        <f t="shared" si="0"/>
        <v>0.1271002400274317</v>
      </c>
      <c r="O60" s="8">
        <f t="shared" si="1"/>
        <v>59</v>
      </c>
    </row>
    <row r="61" spans="1:15" ht="15.75" customHeight="1" x14ac:dyDescent="0.3">
      <c r="A61" s="4" t="s">
        <v>254</v>
      </c>
      <c r="B61" s="4" t="s">
        <v>24</v>
      </c>
      <c r="C61" s="5">
        <v>45574</v>
      </c>
      <c r="D61" s="4" t="s">
        <v>15</v>
      </c>
      <c r="E61" s="6" t="s">
        <v>29</v>
      </c>
      <c r="F61" s="7">
        <v>2659</v>
      </c>
      <c r="G61" s="7">
        <v>167</v>
      </c>
      <c r="H61" s="7">
        <v>73</v>
      </c>
      <c r="I61" s="7">
        <v>23090</v>
      </c>
      <c r="J61" s="7">
        <v>25872</v>
      </c>
      <c r="K61" s="7">
        <v>293</v>
      </c>
      <c r="L61" s="4" t="s">
        <v>45</v>
      </c>
      <c r="M61" s="4" t="s">
        <v>22</v>
      </c>
      <c r="N61" s="16">
        <f t="shared" si="0"/>
        <v>0.12555218709398008</v>
      </c>
      <c r="O61" s="8">
        <f t="shared" si="1"/>
        <v>60</v>
      </c>
    </row>
    <row r="62" spans="1:15" ht="15.75" customHeight="1" x14ac:dyDescent="0.3">
      <c r="A62" s="4" t="s">
        <v>258</v>
      </c>
      <c r="B62" s="4" t="s">
        <v>24</v>
      </c>
      <c r="C62" s="5">
        <v>45579</v>
      </c>
      <c r="D62" s="4" t="s">
        <v>25</v>
      </c>
      <c r="E62" s="6" t="s">
        <v>20</v>
      </c>
      <c r="F62" s="7">
        <v>4303</v>
      </c>
      <c r="G62" s="7">
        <v>306</v>
      </c>
      <c r="H62" s="7">
        <v>302</v>
      </c>
      <c r="I62" s="7">
        <v>39575</v>
      </c>
      <c r="J62" s="7">
        <v>33762</v>
      </c>
      <c r="K62" s="7">
        <v>265</v>
      </c>
      <c r="L62" s="4" t="s">
        <v>39</v>
      </c>
      <c r="M62" s="4" t="s">
        <v>18</v>
      </c>
      <c r="N62" s="16">
        <f t="shared" si="0"/>
        <v>0.12409349336702463</v>
      </c>
      <c r="O62" s="8">
        <f t="shared" si="1"/>
        <v>61</v>
      </c>
    </row>
    <row r="63" spans="1:15" ht="15.75" customHeight="1" x14ac:dyDescent="0.3">
      <c r="A63" s="4" t="s">
        <v>267</v>
      </c>
      <c r="B63" s="4" t="s">
        <v>31</v>
      </c>
      <c r="C63" s="5">
        <v>45738</v>
      </c>
      <c r="D63" s="4" t="s">
        <v>15</v>
      </c>
      <c r="E63" s="6" t="s">
        <v>32</v>
      </c>
      <c r="F63" s="7">
        <v>4308</v>
      </c>
      <c r="G63" s="7">
        <v>171</v>
      </c>
      <c r="H63" s="7">
        <v>106</v>
      </c>
      <c r="I63" s="7">
        <v>36955</v>
      </c>
      <c r="J63" s="7">
        <v>23949</v>
      </c>
      <c r="K63" s="7">
        <v>294</v>
      </c>
      <c r="L63" s="4" t="s">
        <v>33</v>
      </c>
      <c r="M63" s="4" t="s">
        <v>22</v>
      </c>
      <c r="N63" s="16">
        <f t="shared" si="0"/>
        <v>0.12406981463942633</v>
      </c>
      <c r="O63" s="8">
        <f t="shared" si="1"/>
        <v>62</v>
      </c>
    </row>
    <row r="64" spans="1:15" ht="15.75" customHeight="1" x14ac:dyDescent="0.3">
      <c r="A64" s="4" t="s">
        <v>302</v>
      </c>
      <c r="B64" s="4" t="s">
        <v>24</v>
      </c>
      <c r="C64" s="5">
        <v>45626</v>
      </c>
      <c r="D64" s="4" t="s">
        <v>25</v>
      </c>
      <c r="E64" s="6" t="s">
        <v>20</v>
      </c>
      <c r="F64" s="7">
        <v>4963</v>
      </c>
      <c r="G64" s="7">
        <v>255</v>
      </c>
      <c r="H64" s="7">
        <v>193</v>
      </c>
      <c r="I64" s="7">
        <v>44386</v>
      </c>
      <c r="J64" s="7">
        <v>28415</v>
      </c>
      <c r="K64" s="7">
        <v>174</v>
      </c>
      <c r="L64" s="4" t="s">
        <v>27</v>
      </c>
      <c r="M64" s="4" t="s">
        <v>18</v>
      </c>
      <c r="N64" s="16">
        <f t="shared" si="0"/>
        <v>0.12190780876853062</v>
      </c>
      <c r="O64" s="8">
        <f t="shared" si="1"/>
        <v>63</v>
      </c>
    </row>
    <row r="65" spans="1:15" ht="15.75" customHeight="1" x14ac:dyDescent="0.3">
      <c r="A65" s="4" t="s">
        <v>28</v>
      </c>
      <c r="B65" s="4" t="s">
        <v>14</v>
      </c>
      <c r="C65" s="5">
        <v>45629</v>
      </c>
      <c r="D65" s="4" t="s">
        <v>15</v>
      </c>
      <c r="E65" s="6" t="s">
        <v>29</v>
      </c>
      <c r="F65" s="7">
        <v>3173</v>
      </c>
      <c r="G65" s="7">
        <v>229</v>
      </c>
      <c r="H65" s="7">
        <v>197</v>
      </c>
      <c r="I65" s="7">
        <v>29604</v>
      </c>
      <c r="J65" s="7">
        <v>21809</v>
      </c>
      <c r="K65" s="7">
        <v>272</v>
      </c>
      <c r="L65" s="4" t="s">
        <v>17</v>
      </c>
      <c r="M65" s="4" t="s">
        <v>18</v>
      </c>
      <c r="N65" s="16">
        <f t="shared" si="0"/>
        <v>0.1215714092690177</v>
      </c>
      <c r="O65" s="8">
        <f t="shared" si="1"/>
        <v>64</v>
      </c>
    </row>
    <row r="66" spans="1:15" ht="15.75" customHeight="1" x14ac:dyDescent="0.3">
      <c r="A66" s="4" t="s">
        <v>336</v>
      </c>
      <c r="B66" s="4" t="s">
        <v>24</v>
      </c>
      <c r="C66" s="5">
        <v>45736</v>
      </c>
      <c r="D66" s="4" t="s">
        <v>25</v>
      </c>
      <c r="E66" s="6" t="s">
        <v>51</v>
      </c>
      <c r="F66" s="7">
        <v>3393</v>
      </c>
      <c r="G66" s="7">
        <v>104</v>
      </c>
      <c r="H66" s="7">
        <v>79</v>
      </c>
      <c r="I66" s="7">
        <v>30025</v>
      </c>
      <c r="J66" s="7">
        <v>21593</v>
      </c>
      <c r="K66" s="7">
        <v>165</v>
      </c>
      <c r="L66" s="4" t="s">
        <v>27</v>
      </c>
      <c r="M66" s="4" t="s">
        <v>18</v>
      </c>
      <c r="N66" s="16">
        <f t="shared" ref="N66:N129" si="2">(F66+G66+H66)/I66</f>
        <v>0.1191007493755204</v>
      </c>
      <c r="O66" s="8">
        <f t="shared" si="1"/>
        <v>65</v>
      </c>
    </row>
    <row r="67" spans="1:15" ht="15.75" customHeight="1" x14ac:dyDescent="0.3">
      <c r="A67" s="4" t="s">
        <v>83</v>
      </c>
      <c r="B67" s="4" t="s">
        <v>14</v>
      </c>
      <c r="C67" s="5">
        <v>45702</v>
      </c>
      <c r="D67" s="4" t="s">
        <v>15</v>
      </c>
      <c r="E67" s="6" t="s">
        <v>41</v>
      </c>
      <c r="F67" s="7">
        <v>4891</v>
      </c>
      <c r="G67" s="7">
        <v>450</v>
      </c>
      <c r="H67" s="7">
        <v>387</v>
      </c>
      <c r="I67" s="7">
        <v>48746</v>
      </c>
      <c r="J67" s="7">
        <v>37312</v>
      </c>
      <c r="K67" s="7">
        <v>154</v>
      </c>
      <c r="L67" s="4" t="s">
        <v>17</v>
      </c>
      <c r="M67" s="4" t="s">
        <v>18</v>
      </c>
      <c r="N67" s="16">
        <f t="shared" si="2"/>
        <v>0.11750707750379519</v>
      </c>
      <c r="O67" s="8">
        <f t="shared" ref="O67:O130" si="3">RANK(N67,N:N,0)</f>
        <v>66</v>
      </c>
    </row>
    <row r="68" spans="1:15" ht="15.75" customHeight="1" x14ac:dyDescent="0.3">
      <c r="A68" s="4" t="s">
        <v>182</v>
      </c>
      <c r="B68" s="4" t="s">
        <v>14</v>
      </c>
      <c r="C68" s="5">
        <v>45647</v>
      </c>
      <c r="D68" s="4" t="s">
        <v>25</v>
      </c>
      <c r="E68" s="6" t="s">
        <v>26</v>
      </c>
      <c r="F68" s="7">
        <v>4563</v>
      </c>
      <c r="G68" s="7">
        <v>398</v>
      </c>
      <c r="H68" s="7">
        <v>163</v>
      </c>
      <c r="I68" s="7">
        <v>43679</v>
      </c>
      <c r="J68" s="7">
        <v>48760</v>
      </c>
      <c r="K68" s="7">
        <v>92</v>
      </c>
      <c r="L68" s="4" t="s">
        <v>42</v>
      </c>
      <c r="M68" s="4" t="s">
        <v>55</v>
      </c>
      <c r="N68" s="16">
        <f t="shared" si="2"/>
        <v>0.11731037798484398</v>
      </c>
      <c r="O68" s="8">
        <f t="shared" si="3"/>
        <v>67</v>
      </c>
    </row>
    <row r="69" spans="1:15" ht="15.75" customHeight="1" x14ac:dyDescent="0.3">
      <c r="A69" s="4" t="s">
        <v>306</v>
      </c>
      <c r="B69" s="4" t="s">
        <v>14</v>
      </c>
      <c r="C69" s="5">
        <v>45442</v>
      </c>
      <c r="D69" s="4" t="s">
        <v>25</v>
      </c>
      <c r="E69" s="6" t="s">
        <v>37</v>
      </c>
      <c r="F69" s="7">
        <v>2448</v>
      </c>
      <c r="G69" s="7">
        <v>464</v>
      </c>
      <c r="H69" s="7">
        <v>98</v>
      </c>
      <c r="I69" s="7">
        <v>25737</v>
      </c>
      <c r="J69" s="7">
        <v>48545</v>
      </c>
      <c r="K69" s="7">
        <v>246</v>
      </c>
      <c r="L69" s="4" t="s">
        <v>42</v>
      </c>
      <c r="M69" s="4" t="s">
        <v>55</v>
      </c>
      <c r="N69" s="16">
        <f t="shared" si="2"/>
        <v>0.11695224773672146</v>
      </c>
      <c r="O69" s="8">
        <f t="shared" si="3"/>
        <v>68</v>
      </c>
    </row>
    <row r="70" spans="1:15" ht="15.75" customHeight="1" x14ac:dyDescent="0.3">
      <c r="A70" s="4" t="s">
        <v>179</v>
      </c>
      <c r="B70" s="4" t="s">
        <v>24</v>
      </c>
      <c r="C70" s="5">
        <v>45725</v>
      </c>
      <c r="D70" s="4" t="s">
        <v>15</v>
      </c>
      <c r="E70" s="6" t="s">
        <v>51</v>
      </c>
      <c r="F70" s="7">
        <v>2754</v>
      </c>
      <c r="G70" s="7">
        <v>215</v>
      </c>
      <c r="H70" s="7">
        <v>264</v>
      </c>
      <c r="I70" s="7">
        <v>27762</v>
      </c>
      <c r="J70" s="7">
        <v>70203</v>
      </c>
      <c r="K70" s="7">
        <v>289</v>
      </c>
      <c r="L70" s="4" t="s">
        <v>42</v>
      </c>
      <c r="M70" s="4" t="s">
        <v>18</v>
      </c>
      <c r="N70" s="16">
        <f t="shared" si="2"/>
        <v>0.11645414595490239</v>
      </c>
      <c r="O70" s="8">
        <f t="shared" si="3"/>
        <v>69</v>
      </c>
    </row>
    <row r="71" spans="1:15" ht="15.75" customHeight="1" x14ac:dyDescent="0.3">
      <c r="A71" s="4" t="s">
        <v>85</v>
      </c>
      <c r="B71" s="4" t="s">
        <v>31</v>
      </c>
      <c r="C71" s="5">
        <v>45487</v>
      </c>
      <c r="D71" s="4" t="s">
        <v>15</v>
      </c>
      <c r="E71" s="6" t="s">
        <v>51</v>
      </c>
      <c r="F71" s="7">
        <v>3806</v>
      </c>
      <c r="G71" s="7">
        <v>114</v>
      </c>
      <c r="H71" s="7">
        <v>278</v>
      </c>
      <c r="I71" s="7">
        <v>36148</v>
      </c>
      <c r="J71" s="7">
        <v>24209</v>
      </c>
      <c r="K71" s="7">
        <v>201</v>
      </c>
      <c r="L71" s="4" t="s">
        <v>33</v>
      </c>
      <c r="M71" s="4" t="s">
        <v>22</v>
      </c>
      <c r="N71" s="16">
        <f t="shared" si="2"/>
        <v>0.11613367267898639</v>
      </c>
      <c r="O71" s="8">
        <f t="shared" si="3"/>
        <v>70</v>
      </c>
    </row>
    <row r="72" spans="1:15" ht="15.75" customHeight="1" x14ac:dyDescent="0.3">
      <c r="A72" s="4" t="s">
        <v>185</v>
      </c>
      <c r="B72" s="4" t="s">
        <v>24</v>
      </c>
      <c r="C72" s="5">
        <v>45805</v>
      </c>
      <c r="D72" s="4" t="s">
        <v>25</v>
      </c>
      <c r="E72" s="6" t="s">
        <v>41</v>
      </c>
      <c r="F72" s="7">
        <v>4287</v>
      </c>
      <c r="G72" s="7">
        <v>273</v>
      </c>
      <c r="H72" s="7">
        <v>122</v>
      </c>
      <c r="I72" s="7">
        <v>40792</v>
      </c>
      <c r="J72" s="7">
        <v>23878</v>
      </c>
      <c r="K72" s="7">
        <v>277</v>
      </c>
      <c r="L72" s="4" t="s">
        <v>27</v>
      </c>
      <c r="M72" s="4" t="s">
        <v>18</v>
      </c>
      <c r="N72" s="16">
        <f t="shared" si="2"/>
        <v>0.11477740733477153</v>
      </c>
      <c r="O72" s="8">
        <f t="shared" si="3"/>
        <v>71</v>
      </c>
    </row>
    <row r="73" spans="1:15" ht="15.75" customHeight="1" x14ac:dyDescent="0.3">
      <c r="A73" s="4" t="s">
        <v>326</v>
      </c>
      <c r="B73" s="4" t="s">
        <v>14</v>
      </c>
      <c r="C73" s="5">
        <v>45413</v>
      </c>
      <c r="D73" s="4" t="s">
        <v>15</v>
      </c>
      <c r="E73" s="6" t="s">
        <v>37</v>
      </c>
      <c r="F73" s="7">
        <v>3359</v>
      </c>
      <c r="G73" s="7">
        <v>137</v>
      </c>
      <c r="H73" s="7">
        <v>387</v>
      </c>
      <c r="I73" s="7">
        <v>33861</v>
      </c>
      <c r="J73" s="7">
        <v>47257</v>
      </c>
      <c r="K73" s="7">
        <v>198</v>
      </c>
      <c r="L73" s="4" t="s">
        <v>21</v>
      </c>
      <c r="M73" s="4" t="s">
        <v>22</v>
      </c>
      <c r="N73" s="16">
        <f t="shared" si="2"/>
        <v>0.11467469950680724</v>
      </c>
      <c r="O73" s="8">
        <f t="shared" si="3"/>
        <v>72</v>
      </c>
    </row>
    <row r="74" spans="1:15" ht="15.75" customHeight="1" x14ac:dyDescent="0.3">
      <c r="A74" s="4" t="s">
        <v>67</v>
      </c>
      <c r="B74" s="4" t="s">
        <v>14</v>
      </c>
      <c r="C74" s="5">
        <v>45625</v>
      </c>
      <c r="D74" s="4" t="s">
        <v>15</v>
      </c>
      <c r="E74" s="6" t="s">
        <v>35</v>
      </c>
      <c r="F74" s="7">
        <v>2824</v>
      </c>
      <c r="G74" s="7">
        <v>425</v>
      </c>
      <c r="H74" s="7">
        <v>274</v>
      </c>
      <c r="I74" s="7">
        <v>31004</v>
      </c>
      <c r="J74" s="7">
        <v>53488</v>
      </c>
      <c r="K74" s="7">
        <v>268</v>
      </c>
      <c r="L74" s="4" t="s">
        <v>17</v>
      </c>
      <c r="M74" s="4" t="s">
        <v>18</v>
      </c>
      <c r="N74" s="16">
        <f t="shared" si="2"/>
        <v>0.11363049929041415</v>
      </c>
      <c r="O74" s="8">
        <f t="shared" si="3"/>
        <v>73</v>
      </c>
    </row>
    <row r="75" spans="1:15" ht="15.75" customHeight="1" x14ac:dyDescent="0.3">
      <c r="A75" s="4" t="s">
        <v>229</v>
      </c>
      <c r="B75" s="4" t="s">
        <v>31</v>
      </c>
      <c r="C75" s="5">
        <v>45708</v>
      </c>
      <c r="D75" s="4" t="s">
        <v>57</v>
      </c>
      <c r="E75" s="6" t="s">
        <v>37</v>
      </c>
      <c r="F75" s="7">
        <v>4957</v>
      </c>
      <c r="G75" s="7">
        <v>262</v>
      </c>
      <c r="H75" s="7">
        <v>365</v>
      </c>
      <c r="I75" s="7">
        <v>49199</v>
      </c>
      <c r="J75" s="7">
        <v>40314</v>
      </c>
      <c r="K75" s="7">
        <v>216</v>
      </c>
      <c r="L75" s="4" t="s">
        <v>58</v>
      </c>
      <c r="M75" s="4" t="s">
        <v>59</v>
      </c>
      <c r="N75" s="16">
        <f t="shared" si="2"/>
        <v>0.11349824183418362</v>
      </c>
      <c r="O75" s="8">
        <f t="shared" si="3"/>
        <v>74</v>
      </c>
    </row>
    <row r="76" spans="1:15" ht="15.75" customHeight="1" x14ac:dyDescent="0.3">
      <c r="A76" s="4" t="s">
        <v>50</v>
      </c>
      <c r="B76" s="4" t="s">
        <v>24</v>
      </c>
      <c r="C76" s="5">
        <v>45418</v>
      </c>
      <c r="D76" s="4" t="s">
        <v>15</v>
      </c>
      <c r="E76" s="6" t="s">
        <v>51</v>
      </c>
      <c r="F76" s="7">
        <v>3476</v>
      </c>
      <c r="G76" s="7">
        <v>355</v>
      </c>
      <c r="H76" s="7">
        <v>396</v>
      </c>
      <c r="I76" s="7">
        <v>37492</v>
      </c>
      <c r="J76" s="7">
        <v>27285</v>
      </c>
      <c r="K76" s="7">
        <v>179</v>
      </c>
      <c r="L76" s="4" t="s">
        <v>42</v>
      </c>
      <c r="M76" s="4" t="s">
        <v>18</v>
      </c>
      <c r="N76" s="16">
        <f t="shared" si="2"/>
        <v>0.11274405206444041</v>
      </c>
      <c r="O76" s="8">
        <f t="shared" si="3"/>
        <v>75</v>
      </c>
    </row>
    <row r="77" spans="1:15" ht="15.75" customHeight="1" x14ac:dyDescent="0.3">
      <c r="A77" s="4" t="s">
        <v>202</v>
      </c>
      <c r="B77" s="4" t="s">
        <v>14</v>
      </c>
      <c r="C77" s="5">
        <v>45610</v>
      </c>
      <c r="D77" s="4" t="s">
        <v>15</v>
      </c>
      <c r="E77" s="6" t="s">
        <v>32</v>
      </c>
      <c r="F77" s="7">
        <v>2422</v>
      </c>
      <c r="G77" s="7">
        <v>318</v>
      </c>
      <c r="H77" s="7">
        <v>118</v>
      </c>
      <c r="I77" s="7">
        <v>25386</v>
      </c>
      <c r="J77" s="7">
        <v>20873</v>
      </c>
      <c r="K77" s="7">
        <v>100</v>
      </c>
      <c r="L77" s="4" t="s">
        <v>17</v>
      </c>
      <c r="M77" s="4" t="s">
        <v>18</v>
      </c>
      <c r="N77" s="16">
        <f t="shared" si="2"/>
        <v>0.11258173796580792</v>
      </c>
      <c r="O77" s="8">
        <f t="shared" si="3"/>
        <v>76</v>
      </c>
    </row>
    <row r="78" spans="1:15" ht="15.75" customHeight="1" x14ac:dyDescent="0.3">
      <c r="A78" s="4" t="s">
        <v>320</v>
      </c>
      <c r="B78" s="4" t="s">
        <v>24</v>
      </c>
      <c r="C78" s="5">
        <v>45563</v>
      </c>
      <c r="D78" s="4" t="s">
        <v>25</v>
      </c>
      <c r="E78" s="6" t="s">
        <v>29</v>
      </c>
      <c r="F78" s="7">
        <v>4471</v>
      </c>
      <c r="G78" s="7">
        <v>317</v>
      </c>
      <c r="H78" s="7">
        <v>249</v>
      </c>
      <c r="I78" s="7">
        <v>44862</v>
      </c>
      <c r="J78" s="7">
        <v>33365</v>
      </c>
      <c r="K78" s="7">
        <v>184</v>
      </c>
      <c r="L78" s="4" t="s">
        <v>39</v>
      </c>
      <c r="M78" s="4" t="s">
        <v>18</v>
      </c>
      <c r="N78" s="16">
        <f t="shared" si="2"/>
        <v>0.1122776514644911</v>
      </c>
      <c r="O78" s="8">
        <f t="shared" si="3"/>
        <v>77</v>
      </c>
    </row>
    <row r="79" spans="1:15" ht="15.75" customHeight="1" x14ac:dyDescent="0.3">
      <c r="A79" s="4" t="s">
        <v>264</v>
      </c>
      <c r="B79" s="4" t="s">
        <v>24</v>
      </c>
      <c r="C79" s="5">
        <v>45636</v>
      </c>
      <c r="D79" s="4" t="s">
        <v>15</v>
      </c>
      <c r="E79" s="6" t="s">
        <v>49</v>
      </c>
      <c r="F79" s="7">
        <v>4673</v>
      </c>
      <c r="G79" s="7">
        <v>270</v>
      </c>
      <c r="H79" s="7">
        <v>93</v>
      </c>
      <c r="I79" s="7">
        <v>45260</v>
      </c>
      <c r="J79" s="7">
        <v>57513</v>
      </c>
      <c r="K79" s="7">
        <v>103</v>
      </c>
      <c r="L79" s="4" t="s">
        <v>42</v>
      </c>
      <c r="M79" s="4" t="s">
        <v>18</v>
      </c>
      <c r="N79" s="16">
        <f t="shared" si="2"/>
        <v>0.11126822801590809</v>
      </c>
      <c r="O79" s="8">
        <f t="shared" si="3"/>
        <v>78</v>
      </c>
    </row>
    <row r="80" spans="1:15" ht="15.75" customHeight="1" x14ac:dyDescent="0.3">
      <c r="A80" s="4" t="s">
        <v>100</v>
      </c>
      <c r="B80" s="4" t="s">
        <v>31</v>
      </c>
      <c r="C80" s="5">
        <v>45398</v>
      </c>
      <c r="D80" s="4" t="s">
        <v>15</v>
      </c>
      <c r="E80" s="6" t="s">
        <v>16</v>
      </c>
      <c r="F80" s="7">
        <v>4674</v>
      </c>
      <c r="G80" s="7">
        <v>326</v>
      </c>
      <c r="H80" s="7">
        <v>62</v>
      </c>
      <c r="I80" s="7">
        <v>45503</v>
      </c>
      <c r="J80" s="7">
        <v>46814</v>
      </c>
      <c r="K80" s="7">
        <v>116</v>
      </c>
      <c r="L80" s="4" t="s">
        <v>33</v>
      </c>
      <c r="M80" s="4" t="s">
        <v>22</v>
      </c>
      <c r="N80" s="16">
        <f t="shared" si="2"/>
        <v>0.11124541239039185</v>
      </c>
      <c r="O80" s="8">
        <f t="shared" si="3"/>
        <v>79</v>
      </c>
    </row>
    <row r="81" spans="1:15" ht="15.75" customHeight="1" x14ac:dyDescent="0.3">
      <c r="A81" s="4" t="s">
        <v>335</v>
      </c>
      <c r="B81" s="4" t="s">
        <v>14</v>
      </c>
      <c r="C81" s="5">
        <v>45724</v>
      </c>
      <c r="D81" s="4" t="s">
        <v>25</v>
      </c>
      <c r="E81" s="6" t="s">
        <v>41</v>
      </c>
      <c r="F81" s="7">
        <v>2244</v>
      </c>
      <c r="G81" s="7">
        <v>392</v>
      </c>
      <c r="H81" s="7">
        <v>231</v>
      </c>
      <c r="I81" s="7">
        <v>25834</v>
      </c>
      <c r="J81" s="7">
        <v>50906</v>
      </c>
      <c r="K81" s="7">
        <v>165</v>
      </c>
      <c r="L81" s="4" t="s">
        <v>42</v>
      </c>
      <c r="M81" s="4" t="s">
        <v>55</v>
      </c>
      <c r="N81" s="16">
        <f t="shared" si="2"/>
        <v>0.1109777812185492</v>
      </c>
      <c r="O81" s="8">
        <f t="shared" si="3"/>
        <v>80</v>
      </c>
    </row>
    <row r="82" spans="1:15" ht="15.75" customHeight="1" x14ac:dyDescent="0.3">
      <c r="A82" s="4" t="s">
        <v>203</v>
      </c>
      <c r="B82" s="4" t="s">
        <v>31</v>
      </c>
      <c r="C82" s="5">
        <v>45513</v>
      </c>
      <c r="D82" s="4" t="s">
        <v>57</v>
      </c>
      <c r="E82" s="6" t="s">
        <v>49</v>
      </c>
      <c r="F82" s="7">
        <v>3414</v>
      </c>
      <c r="G82" s="7">
        <v>154</v>
      </c>
      <c r="H82" s="7">
        <v>204</v>
      </c>
      <c r="I82" s="7">
        <v>34146</v>
      </c>
      <c r="J82" s="7">
        <v>44633</v>
      </c>
      <c r="K82" s="7">
        <v>256</v>
      </c>
      <c r="L82" s="4" t="s">
        <v>58</v>
      </c>
      <c r="M82" s="4" t="s">
        <v>59</v>
      </c>
      <c r="N82" s="16">
        <f t="shared" si="2"/>
        <v>0.11046681895390383</v>
      </c>
      <c r="O82" s="8">
        <f t="shared" si="3"/>
        <v>81</v>
      </c>
    </row>
    <row r="83" spans="1:15" ht="15.75" customHeight="1" x14ac:dyDescent="0.3">
      <c r="A83" s="4" t="s">
        <v>165</v>
      </c>
      <c r="B83" s="4" t="s">
        <v>24</v>
      </c>
      <c r="C83" s="5">
        <v>45602</v>
      </c>
      <c r="D83" s="4" t="s">
        <v>15</v>
      </c>
      <c r="E83" s="6" t="s">
        <v>49</v>
      </c>
      <c r="F83" s="7">
        <v>2956</v>
      </c>
      <c r="G83" s="7">
        <v>381</v>
      </c>
      <c r="H83" s="7">
        <v>345</v>
      </c>
      <c r="I83" s="7">
        <v>33347</v>
      </c>
      <c r="J83" s="7">
        <v>22558</v>
      </c>
      <c r="K83" s="7">
        <v>173</v>
      </c>
      <c r="L83" s="4" t="s">
        <v>42</v>
      </c>
      <c r="M83" s="4" t="s">
        <v>18</v>
      </c>
      <c r="N83" s="16">
        <f t="shared" si="2"/>
        <v>0.11041472996071611</v>
      </c>
      <c r="O83" s="8">
        <f t="shared" si="3"/>
        <v>82</v>
      </c>
    </row>
    <row r="84" spans="1:15" ht="15.75" customHeight="1" x14ac:dyDescent="0.3">
      <c r="A84" s="4" t="s">
        <v>64</v>
      </c>
      <c r="B84" s="4" t="s">
        <v>24</v>
      </c>
      <c r="C84" s="5">
        <v>45583</v>
      </c>
      <c r="D84" s="4" t="s">
        <v>15</v>
      </c>
      <c r="E84" s="6" t="s">
        <v>26</v>
      </c>
      <c r="F84" s="7">
        <v>2607</v>
      </c>
      <c r="G84" s="7">
        <v>379</v>
      </c>
      <c r="H84" s="7">
        <v>180</v>
      </c>
      <c r="I84" s="7">
        <v>28712</v>
      </c>
      <c r="J84" s="7">
        <v>61620</v>
      </c>
      <c r="K84" s="7">
        <v>174</v>
      </c>
      <c r="L84" s="4" t="s">
        <v>45</v>
      </c>
      <c r="M84" s="4" t="s">
        <v>22</v>
      </c>
      <c r="N84" s="16">
        <f t="shared" si="2"/>
        <v>0.11026748397882419</v>
      </c>
      <c r="O84" s="8">
        <f t="shared" si="3"/>
        <v>83</v>
      </c>
    </row>
    <row r="85" spans="1:15" ht="15.75" customHeight="1" x14ac:dyDescent="0.3">
      <c r="A85" s="4" t="s">
        <v>272</v>
      </c>
      <c r="B85" s="4" t="s">
        <v>31</v>
      </c>
      <c r="C85" s="5">
        <v>45723</v>
      </c>
      <c r="D85" s="4" t="s">
        <v>15</v>
      </c>
      <c r="E85" s="6" t="s">
        <v>41</v>
      </c>
      <c r="F85" s="7">
        <v>4310</v>
      </c>
      <c r="G85" s="7">
        <v>284</v>
      </c>
      <c r="H85" s="7">
        <v>306</v>
      </c>
      <c r="I85" s="7">
        <v>44606</v>
      </c>
      <c r="J85" s="7">
        <v>42604</v>
      </c>
      <c r="K85" s="7">
        <v>290</v>
      </c>
      <c r="L85" s="4" t="s">
        <v>33</v>
      </c>
      <c r="M85" s="4" t="s">
        <v>22</v>
      </c>
      <c r="N85" s="16">
        <f t="shared" si="2"/>
        <v>0.10985069273191947</v>
      </c>
      <c r="O85" s="8">
        <f t="shared" si="3"/>
        <v>84</v>
      </c>
    </row>
    <row r="86" spans="1:15" ht="15.75" customHeight="1" x14ac:dyDescent="0.3">
      <c r="A86" s="4" t="s">
        <v>148</v>
      </c>
      <c r="B86" s="4" t="s">
        <v>31</v>
      </c>
      <c r="C86" s="5">
        <v>45542</v>
      </c>
      <c r="D86" s="4" t="s">
        <v>57</v>
      </c>
      <c r="E86" s="6" t="s">
        <v>32</v>
      </c>
      <c r="F86" s="7">
        <v>3882</v>
      </c>
      <c r="G86" s="7">
        <v>342</v>
      </c>
      <c r="H86" s="7">
        <v>374</v>
      </c>
      <c r="I86" s="7">
        <v>41991</v>
      </c>
      <c r="J86" s="7">
        <v>48554</v>
      </c>
      <c r="K86" s="7">
        <v>118</v>
      </c>
      <c r="L86" s="4" t="s">
        <v>58</v>
      </c>
      <c r="M86" s="4" t="s">
        <v>59</v>
      </c>
      <c r="N86" s="16">
        <f t="shared" si="2"/>
        <v>0.10949965468790931</v>
      </c>
      <c r="O86" s="8">
        <f t="shared" si="3"/>
        <v>85</v>
      </c>
    </row>
    <row r="87" spans="1:15" ht="15.75" customHeight="1" x14ac:dyDescent="0.3">
      <c r="A87" s="4" t="s">
        <v>89</v>
      </c>
      <c r="B87" s="4" t="s">
        <v>24</v>
      </c>
      <c r="C87" s="5">
        <v>45533</v>
      </c>
      <c r="D87" s="4" t="s">
        <v>25</v>
      </c>
      <c r="E87" s="6" t="s">
        <v>37</v>
      </c>
      <c r="F87" s="7">
        <v>4276</v>
      </c>
      <c r="G87" s="7">
        <v>227</v>
      </c>
      <c r="H87" s="7">
        <v>223</v>
      </c>
      <c r="I87" s="7">
        <v>43443</v>
      </c>
      <c r="J87" s="7">
        <v>41005</v>
      </c>
      <c r="K87" s="7">
        <v>191</v>
      </c>
      <c r="L87" s="4" t="s">
        <v>39</v>
      </c>
      <c r="M87" s="4" t="s">
        <v>18</v>
      </c>
      <c r="N87" s="16">
        <f t="shared" si="2"/>
        <v>0.1087862256289851</v>
      </c>
      <c r="O87" s="8">
        <f t="shared" si="3"/>
        <v>86</v>
      </c>
    </row>
    <row r="88" spans="1:15" ht="15.75" customHeight="1" x14ac:dyDescent="0.3">
      <c r="A88" s="4" t="s">
        <v>81</v>
      </c>
      <c r="B88" s="4" t="s">
        <v>14</v>
      </c>
      <c r="C88" s="5">
        <v>45401</v>
      </c>
      <c r="D88" s="4" t="s">
        <v>15</v>
      </c>
      <c r="E88" s="6" t="s">
        <v>26</v>
      </c>
      <c r="F88" s="7">
        <v>4001</v>
      </c>
      <c r="G88" s="7">
        <v>353</v>
      </c>
      <c r="H88" s="7">
        <v>129</v>
      </c>
      <c r="I88" s="7">
        <v>41265</v>
      </c>
      <c r="J88" s="7">
        <v>37279</v>
      </c>
      <c r="K88" s="7">
        <v>275</v>
      </c>
      <c r="L88" s="4" t="s">
        <v>17</v>
      </c>
      <c r="M88" s="4" t="s">
        <v>18</v>
      </c>
      <c r="N88" s="16">
        <f t="shared" si="2"/>
        <v>0.10863928268508422</v>
      </c>
      <c r="O88" s="8">
        <f t="shared" si="3"/>
        <v>87</v>
      </c>
    </row>
    <row r="89" spans="1:15" ht="15.75" customHeight="1" x14ac:dyDescent="0.3">
      <c r="A89" s="4" t="s">
        <v>242</v>
      </c>
      <c r="B89" s="4" t="s">
        <v>24</v>
      </c>
      <c r="C89" s="5">
        <v>45302</v>
      </c>
      <c r="D89" s="4" t="s">
        <v>25</v>
      </c>
      <c r="E89" s="6" t="s">
        <v>29</v>
      </c>
      <c r="F89" s="7">
        <v>2340</v>
      </c>
      <c r="G89" s="7">
        <v>141</v>
      </c>
      <c r="H89" s="7">
        <v>206</v>
      </c>
      <c r="I89" s="7">
        <v>24916</v>
      </c>
      <c r="J89" s="7">
        <v>30582</v>
      </c>
      <c r="K89" s="7">
        <v>157</v>
      </c>
      <c r="L89" s="4" t="s">
        <v>17</v>
      </c>
      <c r="M89" s="4" t="s">
        <v>18</v>
      </c>
      <c r="N89" s="16">
        <f t="shared" si="2"/>
        <v>0.10784235029699792</v>
      </c>
      <c r="O89" s="8">
        <f t="shared" si="3"/>
        <v>88</v>
      </c>
    </row>
    <row r="90" spans="1:15" ht="15.75" customHeight="1" x14ac:dyDescent="0.3">
      <c r="A90" s="4" t="s">
        <v>77</v>
      </c>
      <c r="B90" s="4" t="s">
        <v>24</v>
      </c>
      <c r="C90" s="5">
        <v>45804</v>
      </c>
      <c r="D90" s="4" t="s">
        <v>25</v>
      </c>
      <c r="E90" s="6" t="s">
        <v>20</v>
      </c>
      <c r="F90" s="7">
        <v>4095</v>
      </c>
      <c r="G90" s="7">
        <v>385</v>
      </c>
      <c r="H90" s="7">
        <v>400</v>
      </c>
      <c r="I90" s="7">
        <v>45300</v>
      </c>
      <c r="J90" s="7">
        <v>31795</v>
      </c>
      <c r="K90" s="7">
        <v>80</v>
      </c>
      <c r="L90" s="4" t="s">
        <v>27</v>
      </c>
      <c r="M90" s="4" t="s">
        <v>18</v>
      </c>
      <c r="N90" s="16">
        <f t="shared" si="2"/>
        <v>0.10772626931567329</v>
      </c>
      <c r="O90" s="8">
        <f t="shared" si="3"/>
        <v>89</v>
      </c>
    </row>
    <row r="91" spans="1:15" ht="15.75" customHeight="1" x14ac:dyDescent="0.3">
      <c r="A91" s="4" t="s">
        <v>292</v>
      </c>
      <c r="B91" s="4" t="s">
        <v>31</v>
      </c>
      <c r="C91" s="5">
        <v>45591</v>
      </c>
      <c r="D91" s="4" t="s">
        <v>15</v>
      </c>
      <c r="E91" s="6" t="s">
        <v>26</v>
      </c>
      <c r="F91" s="7">
        <v>4676</v>
      </c>
      <c r="G91" s="7">
        <v>211</v>
      </c>
      <c r="H91" s="7">
        <v>55</v>
      </c>
      <c r="I91" s="7">
        <v>45917</v>
      </c>
      <c r="J91" s="7">
        <v>73503</v>
      </c>
      <c r="K91" s="7">
        <v>248</v>
      </c>
      <c r="L91" s="4" t="s">
        <v>33</v>
      </c>
      <c r="M91" s="4" t="s">
        <v>22</v>
      </c>
      <c r="N91" s="16">
        <f t="shared" si="2"/>
        <v>0.10762898272970794</v>
      </c>
      <c r="O91" s="8">
        <f t="shared" si="3"/>
        <v>90</v>
      </c>
    </row>
    <row r="92" spans="1:15" ht="15.75" customHeight="1" x14ac:dyDescent="0.3">
      <c r="A92" s="4" t="s">
        <v>235</v>
      </c>
      <c r="B92" s="4" t="s">
        <v>31</v>
      </c>
      <c r="C92" s="5">
        <v>45305</v>
      </c>
      <c r="D92" s="4" t="s">
        <v>15</v>
      </c>
      <c r="E92" s="6" t="s">
        <v>26</v>
      </c>
      <c r="F92" s="7">
        <v>3634</v>
      </c>
      <c r="G92" s="7">
        <v>280</v>
      </c>
      <c r="H92" s="7">
        <v>399</v>
      </c>
      <c r="I92" s="7">
        <v>40256</v>
      </c>
      <c r="J92" s="7">
        <v>52605</v>
      </c>
      <c r="K92" s="7">
        <v>213</v>
      </c>
      <c r="L92" s="4" t="s">
        <v>33</v>
      </c>
      <c r="M92" s="4" t="s">
        <v>22</v>
      </c>
      <c r="N92" s="16">
        <f t="shared" si="2"/>
        <v>0.10713930842607314</v>
      </c>
      <c r="O92" s="8">
        <f t="shared" si="3"/>
        <v>91</v>
      </c>
    </row>
    <row r="93" spans="1:15" ht="15.75" customHeight="1" x14ac:dyDescent="0.3">
      <c r="A93" s="4" t="s">
        <v>188</v>
      </c>
      <c r="B93" s="4" t="s">
        <v>24</v>
      </c>
      <c r="C93" s="5">
        <v>45696</v>
      </c>
      <c r="D93" s="4" t="s">
        <v>25</v>
      </c>
      <c r="E93" s="6" t="s">
        <v>51</v>
      </c>
      <c r="F93" s="7">
        <v>4752</v>
      </c>
      <c r="G93" s="7">
        <v>334</v>
      </c>
      <c r="H93" s="7">
        <v>56</v>
      </c>
      <c r="I93" s="7">
        <v>48017</v>
      </c>
      <c r="J93" s="7">
        <v>55534</v>
      </c>
      <c r="K93" s="7">
        <v>270</v>
      </c>
      <c r="L93" s="4" t="s">
        <v>39</v>
      </c>
      <c r="M93" s="4" t="s">
        <v>18</v>
      </c>
      <c r="N93" s="16">
        <f t="shared" si="2"/>
        <v>0.10708707332819627</v>
      </c>
      <c r="O93" s="8">
        <f t="shared" si="3"/>
        <v>92</v>
      </c>
    </row>
    <row r="94" spans="1:15" ht="15.75" customHeight="1" x14ac:dyDescent="0.3">
      <c r="A94" s="4" t="s">
        <v>110</v>
      </c>
      <c r="B94" s="4" t="s">
        <v>24</v>
      </c>
      <c r="C94" s="5">
        <v>45662</v>
      </c>
      <c r="D94" s="4" t="s">
        <v>15</v>
      </c>
      <c r="E94" s="6" t="s">
        <v>29</v>
      </c>
      <c r="F94" s="7">
        <v>4811</v>
      </c>
      <c r="G94" s="7">
        <v>473</v>
      </c>
      <c r="H94" s="7">
        <v>254</v>
      </c>
      <c r="I94" s="7">
        <v>51964</v>
      </c>
      <c r="J94" s="7">
        <v>68795</v>
      </c>
      <c r="K94" s="7">
        <v>107</v>
      </c>
      <c r="L94" s="4" t="s">
        <v>42</v>
      </c>
      <c r="M94" s="4" t="s">
        <v>18</v>
      </c>
      <c r="N94" s="16">
        <f t="shared" si="2"/>
        <v>0.10657378184897237</v>
      </c>
      <c r="O94" s="8">
        <f t="shared" si="3"/>
        <v>93</v>
      </c>
    </row>
    <row r="95" spans="1:15" ht="15.75" customHeight="1" x14ac:dyDescent="0.3">
      <c r="A95" s="4" t="s">
        <v>205</v>
      </c>
      <c r="B95" s="4" t="s">
        <v>14</v>
      </c>
      <c r="C95" s="5">
        <v>45420</v>
      </c>
      <c r="D95" s="4" t="s">
        <v>25</v>
      </c>
      <c r="E95" s="6" t="s">
        <v>32</v>
      </c>
      <c r="F95" s="7">
        <v>2414</v>
      </c>
      <c r="G95" s="7">
        <v>220</v>
      </c>
      <c r="H95" s="7">
        <v>280</v>
      </c>
      <c r="I95" s="7">
        <v>27355</v>
      </c>
      <c r="J95" s="7">
        <v>50562</v>
      </c>
      <c r="K95" s="7">
        <v>258</v>
      </c>
      <c r="L95" s="4" t="s">
        <v>42</v>
      </c>
      <c r="M95" s="4" t="s">
        <v>55</v>
      </c>
      <c r="N95" s="16">
        <f t="shared" si="2"/>
        <v>0.10652531529884847</v>
      </c>
      <c r="O95" s="8">
        <f t="shared" si="3"/>
        <v>94</v>
      </c>
    </row>
    <row r="96" spans="1:15" ht="15.75" customHeight="1" x14ac:dyDescent="0.3">
      <c r="A96" s="4" t="s">
        <v>97</v>
      </c>
      <c r="B96" s="4" t="s">
        <v>14</v>
      </c>
      <c r="C96" s="5">
        <v>45299</v>
      </c>
      <c r="D96" s="4" t="s">
        <v>15</v>
      </c>
      <c r="E96" s="6" t="s">
        <v>41</v>
      </c>
      <c r="F96" s="7">
        <v>2683</v>
      </c>
      <c r="G96" s="7">
        <v>405</v>
      </c>
      <c r="H96" s="7">
        <v>223</v>
      </c>
      <c r="I96" s="7">
        <v>31233</v>
      </c>
      <c r="J96" s="7">
        <v>58106</v>
      </c>
      <c r="K96" s="7">
        <v>291</v>
      </c>
      <c r="L96" s="4" t="s">
        <v>21</v>
      </c>
      <c r="M96" s="4" t="s">
        <v>22</v>
      </c>
      <c r="N96" s="16">
        <f t="shared" si="2"/>
        <v>0.10600966926007749</v>
      </c>
      <c r="O96" s="8">
        <f t="shared" si="3"/>
        <v>95</v>
      </c>
    </row>
    <row r="97" spans="1:15" ht="15.75" customHeight="1" x14ac:dyDescent="0.3">
      <c r="A97" s="4" t="s">
        <v>137</v>
      </c>
      <c r="B97" s="4" t="s">
        <v>14</v>
      </c>
      <c r="C97" s="5">
        <v>45317</v>
      </c>
      <c r="D97" s="4" t="s">
        <v>15</v>
      </c>
      <c r="E97" s="6" t="s">
        <v>35</v>
      </c>
      <c r="F97" s="7">
        <v>3878</v>
      </c>
      <c r="G97" s="7">
        <v>431</v>
      </c>
      <c r="H97" s="7">
        <v>97</v>
      </c>
      <c r="I97" s="7">
        <v>41763</v>
      </c>
      <c r="J97" s="7">
        <v>29729</v>
      </c>
      <c r="K97" s="7">
        <v>191</v>
      </c>
      <c r="L97" s="4" t="s">
        <v>21</v>
      </c>
      <c r="M97" s="4" t="s">
        <v>22</v>
      </c>
      <c r="N97" s="16">
        <f t="shared" si="2"/>
        <v>0.10550008380623997</v>
      </c>
      <c r="O97" s="8">
        <f t="shared" si="3"/>
        <v>96</v>
      </c>
    </row>
    <row r="98" spans="1:15" ht="15.75" customHeight="1" x14ac:dyDescent="0.3">
      <c r="A98" s="4" t="s">
        <v>280</v>
      </c>
      <c r="B98" s="4" t="s">
        <v>31</v>
      </c>
      <c r="C98" s="5">
        <v>45533</v>
      </c>
      <c r="D98" s="4" t="s">
        <v>15</v>
      </c>
      <c r="E98" s="6" t="s">
        <v>29</v>
      </c>
      <c r="F98" s="7">
        <v>4774</v>
      </c>
      <c r="G98" s="7">
        <v>389</v>
      </c>
      <c r="H98" s="7">
        <v>358</v>
      </c>
      <c r="I98" s="7">
        <v>52346</v>
      </c>
      <c r="J98" s="7">
        <v>30518</v>
      </c>
      <c r="K98" s="7">
        <v>277</v>
      </c>
      <c r="L98" s="4" t="s">
        <v>33</v>
      </c>
      <c r="M98" s="4" t="s">
        <v>22</v>
      </c>
      <c r="N98" s="16">
        <f t="shared" si="2"/>
        <v>0.10547128720437092</v>
      </c>
      <c r="O98" s="8">
        <f t="shared" si="3"/>
        <v>97</v>
      </c>
    </row>
    <row r="99" spans="1:15" ht="15.75" customHeight="1" x14ac:dyDescent="0.3">
      <c r="A99" s="4" t="s">
        <v>328</v>
      </c>
      <c r="B99" s="4" t="s">
        <v>24</v>
      </c>
      <c r="C99" s="5">
        <v>45513</v>
      </c>
      <c r="D99" s="4" t="s">
        <v>25</v>
      </c>
      <c r="E99" s="6" t="s">
        <v>49</v>
      </c>
      <c r="F99" s="7">
        <v>4877</v>
      </c>
      <c r="G99" s="7">
        <v>442</v>
      </c>
      <c r="H99" s="7">
        <v>236</v>
      </c>
      <c r="I99" s="7">
        <v>52673</v>
      </c>
      <c r="J99" s="7">
        <v>48241</v>
      </c>
      <c r="K99" s="7">
        <v>114</v>
      </c>
      <c r="L99" s="4" t="s">
        <v>39</v>
      </c>
      <c r="M99" s="4" t="s">
        <v>18</v>
      </c>
      <c r="N99" s="16">
        <f t="shared" si="2"/>
        <v>0.10546200140489435</v>
      </c>
      <c r="O99" s="8">
        <f t="shared" si="3"/>
        <v>98</v>
      </c>
    </row>
    <row r="100" spans="1:15" ht="15.75" customHeight="1" x14ac:dyDescent="0.3">
      <c r="A100" s="4" t="s">
        <v>168</v>
      </c>
      <c r="B100" s="4" t="s">
        <v>14</v>
      </c>
      <c r="C100" s="5">
        <v>45344</v>
      </c>
      <c r="D100" s="4" t="s">
        <v>15</v>
      </c>
      <c r="E100" s="6" t="s">
        <v>26</v>
      </c>
      <c r="F100" s="7">
        <v>1902</v>
      </c>
      <c r="G100" s="7">
        <v>394</v>
      </c>
      <c r="H100" s="7">
        <v>279</v>
      </c>
      <c r="I100" s="7">
        <v>24615</v>
      </c>
      <c r="J100" s="7">
        <v>51330</v>
      </c>
      <c r="K100" s="7">
        <v>176</v>
      </c>
      <c r="L100" s="4" t="s">
        <v>17</v>
      </c>
      <c r="M100" s="4" t="s">
        <v>18</v>
      </c>
      <c r="N100" s="16">
        <f t="shared" si="2"/>
        <v>0.10461100954702417</v>
      </c>
      <c r="O100" s="8">
        <f t="shared" si="3"/>
        <v>99</v>
      </c>
    </row>
    <row r="101" spans="1:15" ht="15.75" customHeight="1" x14ac:dyDescent="0.3">
      <c r="A101" s="4" t="s">
        <v>195</v>
      </c>
      <c r="B101" s="4" t="s">
        <v>14</v>
      </c>
      <c r="C101" s="5">
        <v>45407</v>
      </c>
      <c r="D101" s="4" t="s">
        <v>15</v>
      </c>
      <c r="E101" s="6" t="s">
        <v>32</v>
      </c>
      <c r="F101" s="7">
        <v>3563</v>
      </c>
      <c r="G101" s="7">
        <v>483</v>
      </c>
      <c r="H101" s="7">
        <v>227</v>
      </c>
      <c r="I101" s="7">
        <v>41085</v>
      </c>
      <c r="J101" s="7">
        <v>26393</v>
      </c>
      <c r="K101" s="7">
        <v>236</v>
      </c>
      <c r="L101" s="4" t="s">
        <v>17</v>
      </c>
      <c r="M101" s="4" t="s">
        <v>18</v>
      </c>
      <c r="N101" s="16">
        <f t="shared" si="2"/>
        <v>0.10400389436534015</v>
      </c>
      <c r="O101" s="8">
        <f t="shared" si="3"/>
        <v>100</v>
      </c>
    </row>
    <row r="102" spans="1:15" ht="15.75" customHeight="1" x14ac:dyDescent="0.3">
      <c r="A102" s="4" t="s">
        <v>70</v>
      </c>
      <c r="B102" s="4" t="s">
        <v>24</v>
      </c>
      <c r="C102" s="5">
        <v>45773</v>
      </c>
      <c r="D102" s="4" t="s">
        <v>15</v>
      </c>
      <c r="E102" s="6" t="s">
        <v>16</v>
      </c>
      <c r="F102" s="7">
        <v>2411</v>
      </c>
      <c r="G102" s="7">
        <v>194</v>
      </c>
      <c r="H102" s="7">
        <v>168</v>
      </c>
      <c r="I102" s="7">
        <v>26665</v>
      </c>
      <c r="J102" s="7">
        <v>71699</v>
      </c>
      <c r="K102" s="7">
        <v>197</v>
      </c>
      <c r="L102" s="4" t="s">
        <v>42</v>
      </c>
      <c r="M102" s="4" t="s">
        <v>18</v>
      </c>
      <c r="N102" s="16">
        <f t="shared" si="2"/>
        <v>0.10399399962497656</v>
      </c>
      <c r="O102" s="8">
        <f t="shared" si="3"/>
        <v>101</v>
      </c>
    </row>
    <row r="103" spans="1:15" ht="15.75" customHeight="1" x14ac:dyDescent="0.3">
      <c r="A103" s="4" t="s">
        <v>329</v>
      </c>
      <c r="B103" s="4" t="s">
        <v>14</v>
      </c>
      <c r="C103" s="5">
        <v>45678</v>
      </c>
      <c r="D103" s="4" t="s">
        <v>25</v>
      </c>
      <c r="E103" s="6" t="s">
        <v>26</v>
      </c>
      <c r="F103" s="7">
        <v>4918</v>
      </c>
      <c r="G103" s="7">
        <v>440</v>
      </c>
      <c r="H103" s="7">
        <v>149</v>
      </c>
      <c r="I103" s="7">
        <v>53269</v>
      </c>
      <c r="J103" s="7">
        <v>64370</v>
      </c>
      <c r="K103" s="7">
        <v>269</v>
      </c>
      <c r="L103" s="4" t="s">
        <v>42</v>
      </c>
      <c r="M103" s="4" t="s">
        <v>55</v>
      </c>
      <c r="N103" s="16">
        <f t="shared" si="2"/>
        <v>0.10338095327488783</v>
      </c>
      <c r="O103" s="8">
        <f t="shared" si="3"/>
        <v>102</v>
      </c>
    </row>
    <row r="104" spans="1:15" ht="15.75" customHeight="1" x14ac:dyDescent="0.3">
      <c r="A104" s="4" t="s">
        <v>214</v>
      </c>
      <c r="B104" s="4" t="s">
        <v>31</v>
      </c>
      <c r="C104" s="5">
        <v>45749</v>
      </c>
      <c r="D104" s="4" t="s">
        <v>15</v>
      </c>
      <c r="E104" s="6" t="s">
        <v>29</v>
      </c>
      <c r="F104" s="7">
        <v>4598</v>
      </c>
      <c r="G104" s="7">
        <v>455</v>
      </c>
      <c r="H104" s="7">
        <v>378</v>
      </c>
      <c r="I104" s="7">
        <v>52952</v>
      </c>
      <c r="J104" s="7">
        <v>58504</v>
      </c>
      <c r="K104" s="7">
        <v>269</v>
      </c>
      <c r="L104" s="4" t="s">
        <v>33</v>
      </c>
      <c r="M104" s="4" t="s">
        <v>22</v>
      </c>
      <c r="N104" s="16">
        <f t="shared" si="2"/>
        <v>0.10256458679558846</v>
      </c>
      <c r="O104" s="8">
        <f t="shared" si="3"/>
        <v>103</v>
      </c>
    </row>
    <row r="105" spans="1:15" ht="15.75" customHeight="1" x14ac:dyDescent="0.3">
      <c r="A105" s="4" t="s">
        <v>91</v>
      </c>
      <c r="B105" s="4" t="s">
        <v>31</v>
      </c>
      <c r="C105" s="5">
        <v>45425</v>
      </c>
      <c r="D105" s="4" t="s">
        <v>57</v>
      </c>
      <c r="E105" s="6" t="s">
        <v>20</v>
      </c>
      <c r="F105" s="7">
        <v>4161</v>
      </c>
      <c r="G105" s="7">
        <v>481</v>
      </c>
      <c r="H105" s="7">
        <v>61</v>
      </c>
      <c r="I105" s="7">
        <v>45884</v>
      </c>
      <c r="J105" s="7">
        <v>48955</v>
      </c>
      <c r="K105" s="7">
        <v>215</v>
      </c>
      <c r="L105" s="4" t="s">
        <v>58</v>
      </c>
      <c r="M105" s="4" t="s">
        <v>59</v>
      </c>
      <c r="N105" s="16">
        <f t="shared" si="2"/>
        <v>0.10249760265016128</v>
      </c>
      <c r="O105" s="8">
        <f t="shared" si="3"/>
        <v>104</v>
      </c>
    </row>
    <row r="106" spans="1:15" ht="15.75" customHeight="1" x14ac:dyDescent="0.3">
      <c r="A106" s="4" t="s">
        <v>231</v>
      </c>
      <c r="B106" s="4" t="s">
        <v>31</v>
      </c>
      <c r="C106" s="5">
        <v>45346</v>
      </c>
      <c r="D106" s="4" t="s">
        <v>57</v>
      </c>
      <c r="E106" s="6" t="s">
        <v>16</v>
      </c>
      <c r="F106" s="7">
        <v>4221</v>
      </c>
      <c r="G106" s="7">
        <v>307</v>
      </c>
      <c r="H106" s="7">
        <v>58</v>
      </c>
      <c r="I106" s="7">
        <v>45080</v>
      </c>
      <c r="J106" s="7">
        <v>37214</v>
      </c>
      <c r="K106" s="7">
        <v>240</v>
      </c>
      <c r="L106" s="4" t="s">
        <v>58</v>
      </c>
      <c r="M106" s="4" t="s">
        <v>59</v>
      </c>
      <c r="N106" s="16">
        <f t="shared" si="2"/>
        <v>0.10173025732031943</v>
      </c>
      <c r="O106" s="8">
        <f t="shared" si="3"/>
        <v>105</v>
      </c>
    </row>
    <row r="107" spans="1:15" ht="15.75" customHeight="1" x14ac:dyDescent="0.3">
      <c r="A107" s="4" t="s">
        <v>208</v>
      </c>
      <c r="B107" s="4" t="s">
        <v>14</v>
      </c>
      <c r="C107" s="5">
        <v>45385</v>
      </c>
      <c r="D107" s="4" t="s">
        <v>15</v>
      </c>
      <c r="E107" s="6" t="s">
        <v>41</v>
      </c>
      <c r="F107" s="7">
        <v>2762</v>
      </c>
      <c r="G107" s="7">
        <v>339</v>
      </c>
      <c r="H107" s="7">
        <v>323</v>
      </c>
      <c r="I107" s="7">
        <v>33757</v>
      </c>
      <c r="J107" s="7">
        <v>68511</v>
      </c>
      <c r="K107" s="7">
        <v>121</v>
      </c>
      <c r="L107" s="4" t="s">
        <v>17</v>
      </c>
      <c r="M107" s="4" t="s">
        <v>18</v>
      </c>
      <c r="N107" s="16">
        <f t="shared" si="2"/>
        <v>0.10143081434961637</v>
      </c>
      <c r="O107" s="8">
        <f t="shared" si="3"/>
        <v>106</v>
      </c>
    </row>
    <row r="108" spans="1:15" ht="15.75" customHeight="1" x14ac:dyDescent="0.3">
      <c r="A108" s="4" t="s">
        <v>140</v>
      </c>
      <c r="B108" s="4" t="s">
        <v>14</v>
      </c>
      <c r="C108" s="5">
        <v>45494</v>
      </c>
      <c r="D108" s="4" t="s">
        <v>15</v>
      </c>
      <c r="E108" s="6" t="s">
        <v>16</v>
      </c>
      <c r="F108" s="7">
        <v>3004</v>
      </c>
      <c r="G108" s="7">
        <v>415</v>
      </c>
      <c r="H108" s="7">
        <v>218</v>
      </c>
      <c r="I108" s="7">
        <v>36090</v>
      </c>
      <c r="J108" s="7">
        <v>37073</v>
      </c>
      <c r="K108" s="7">
        <v>181</v>
      </c>
      <c r="L108" s="4" t="s">
        <v>21</v>
      </c>
      <c r="M108" s="4" t="s">
        <v>22</v>
      </c>
      <c r="N108" s="16">
        <f t="shared" si="2"/>
        <v>0.10077583818232197</v>
      </c>
      <c r="O108" s="8">
        <f t="shared" si="3"/>
        <v>107</v>
      </c>
    </row>
    <row r="109" spans="1:15" ht="15.75" customHeight="1" x14ac:dyDescent="0.3">
      <c r="A109" s="4" t="s">
        <v>213</v>
      </c>
      <c r="B109" s="4" t="s">
        <v>14</v>
      </c>
      <c r="C109" s="5">
        <v>45447</v>
      </c>
      <c r="D109" s="4" t="s">
        <v>15</v>
      </c>
      <c r="E109" s="6" t="s">
        <v>37</v>
      </c>
      <c r="F109" s="7">
        <v>3948</v>
      </c>
      <c r="G109" s="7">
        <v>151</v>
      </c>
      <c r="H109" s="7">
        <v>249</v>
      </c>
      <c r="I109" s="7">
        <v>43147</v>
      </c>
      <c r="J109" s="7">
        <v>63136</v>
      </c>
      <c r="K109" s="7">
        <v>230</v>
      </c>
      <c r="L109" s="4" t="s">
        <v>21</v>
      </c>
      <c r="M109" s="4" t="s">
        <v>22</v>
      </c>
      <c r="N109" s="16">
        <f t="shared" si="2"/>
        <v>0.10077178019329269</v>
      </c>
      <c r="O109" s="8">
        <f t="shared" si="3"/>
        <v>108</v>
      </c>
    </row>
    <row r="110" spans="1:15" ht="15.75" customHeight="1" x14ac:dyDescent="0.3">
      <c r="A110" s="4" t="s">
        <v>129</v>
      </c>
      <c r="B110" s="4" t="s">
        <v>14</v>
      </c>
      <c r="C110" s="5">
        <v>45630</v>
      </c>
      <c r="D110" s="4" t="s">
        <v>15</v>
      </c>
      <c r="E110" s="6" t="s">
        <v>29</v>
      </c>
      <c r="F110" s="7">
        <v>2601</v>
      </c>
      <c r="G110" s="7">
        <v>336</v>
      </c>
      <c r="H110" s="7">
        <v>260</v>
      </c>
      <c r="I110" s="7">
        <v>32368</v>
      </c>
      <c r="J110" s="7">
        <v>49028</v>
      </c>
      <c r="K110" s="7">
        <v>120</v>
      </c>
      <c r="L110" s="4" t="s">
        <v>17</v>
      </c>
      <c r="M110" s="4" t="s">
        <v>18</v>
      </c>
      <c r="N110" s="16">
        <f t="shared" si="2"/>
        <v>9.8770390509144837E-2</v>
      </c>
      <c r="O110" s="8">
        <f t="shared" si="3"/>
        <v>109</v>
      </c>
    </row>
    <row r="111" spans="1:15" ht="15.75" customHeight="1" x14ac:dyDescent="0.3">
      <c r="A111" s="4" t="s">
        <v>321</v>
      </c>
      <c r="B111" s="4" t="s">
        <v>14</v>
      </c>
      <c r="C111" s="5">
        <v>45298</v>
      </c>
      <c r="D111" s="4" t="s">
        <v>15</v>
      </c>
      <c r="E111" s="6" t="s">
        <v>41</v>
      </c>
      <c r="F111" s="7">
        <v>4931</v>
      </c>
      <c r="G111" s="7">
        <v>469</v>
      </c>
      <c r="H111" s="7">
        <v>193</v>
      </c>
      <c r="I111" s="7">
        <v>56701</v>
      </c>
      <c r="J111" s="7">
        <v>69437</v>
      </c>
      <c r="K111" s="7">
        <v>291</v>
      </c>
      <c r="L111" s="4" t="s">
        <v>17</v>
      </c>
      <c r="M111" s="4" t="s">
        <v>18</v>
      </c>
      <c r="N111" s="16">
        <f t="shared" si="2"/>
        <v>9.8640235621946709E-2</v>
      </c>
      <c r="O111" s="8">
        <f t="shared" si="3"/>
        <v>110</v>
      </c>
    </row>
    <row r="112" spans="1:15" ht="15.75" customHeight="1" x14ac:dyDescent="0.3">
      <c r="A112" s="4" t="s">
        <v>228</v>
      </c>
      <c r="B112" s="4" t="s">
        <v>14</v>
      </c>
      <c r="C112" s="5">
        <v>45814</v>
      </c>
      <c r="D112" s="4" t="s">
        <v>15</v>
      </c>
      <c r="E112" s="6" t="s">
        <v>29</v>
      </c>
      <c r="F112" s="7">
        <v>3987</v>
      </c>
      <c r="G112" s="7">
        <v>171</v>
      </c>
      <c r="H112" s="7">
        <v>274</v>
      </c>
      <c r="I112" s="7">
        <v>45122</v>
      </c>
      <c r="J112" s="7">
        <v>65431</v>
      </c>
      <c r="K112" s="7">
        <v>168</v>
      </c>
      <c r="L112" s="4" t="s">
        <v>21</v>
      </c>
      <c r="M112" s="4" t="s">
        <v>22</v>
      </c>
      <c r="N112" s="16">
        <f t="shared" si="2"/>
        <v>9.8222596516111871E-2</v>
      </c>
      <c r="O112" s="8">
        <f t="shared" si="3"/>
        <v>111</v>
      </c>
    </row>
    <row r="113" spans="1:15" ht="15.75" customHeight="1" x14ac:dyDescent="0.3">
      <c r="A113" s="4" t="s">
        <v>283</v>
      </c>
      <c r="B113" s="4" t="s">
        <v>24</v>
      </c>
      <c r="C113" s="5">
        <v>45636</v>
      </c>
      <c r="D113" s="4" t="s">
        <v>25</v>
      </c>
      <c r="E113" s="6" t="s">
        <v>29</v>
      </c>
      <c r="F113" s="7">
        <v>2267</v>
      </c>
      <c r="G113" s="7">
        <v>230</v>
      </c>
      <c r="H113" s="7">
        <v>243</v>
      </c>
      <c r="I113" s="7">
        <v>27904</v>
      </c>
      <c r="J113" s="7">
        <v>69771</v>
      </c>
      <c r="K113" s="7">
        <v>255</v>
      </c>
      <c r="L113" s="4" t="s">
        <v>39</v>
      </c>
      <c r="M113" s="4" t="s">
        <v>18</v>
      </c>
      <c r="N113" s="16">
        <f t="shared" si="2"/>
        <v>9.8193807339449546E-2</v>
      </c>
      <c r="O113" s="8">
        <f t="shared" si="3"/>
        <v>112</v>
      </c>
    </row>
    <row r="114" spans="1:15" ht="15.75" customHeight="1" x14ac:dyDescent="0.3">
      <c r="A114" s="4" t="s">
        <v>87</v>
      </c>
      <c r="B114" s="4" t="s">
        <v>31</v>
      </c>
      <c r="C114" s="5">
        <v>45365</v>
      </c>
      <c r="D114" s="4" t="s">
        <v>57</v>
      </c>
      <c r="E114" s="6" t="s">
        <v>49</v>
      </c>
      <c r="F114" s="7">
        <v>3361</v>
      </c>
      <c r="G114" s="7">
        <v>188</v>
      </c>
      <c r="H114" s="7">
        <v>358</v>
      </c>
      <c r="I114" s="7">
        <v>39838</v>
      </c>
      <c r="J114" s="7">
        <v>24536</v>
      </c>
      <c r="K114" s="7">
        <v>120</v>
      </c>
      <c r="L114" s="4" t="s">
        <v>58</v>
      </c>
      <c r="M114" s="4" t="s">
        <v>59</v>
      </c>
      <c r="N114" s="16">
        <f t="shared" si="2"/>
        <v>9.8072192379135503E-2</v>
      </c>
      <c r="O114" s="8">
        <f t="shared" si="3"/>
        <v>113</v>
      </c>
    </row>
    <row r="115" spans="1:15" ht="15.75" customHeight="1" x14ac:dyDescent="0.3">
      <c r="A115" s="4" t="s">
        <v>211</v>
      </c>
      <c r="B115" s="4" t="s">
        <v>14</v>
      </c>
      <c r="C115" s="5">
        <v>45536</v>
      </c>
      <c r="D115" s="4" t="s">
        <v>25</v>
      </c>
      <c r="E115" s="6" t="s">
        <v>29</v>
      </c>
      <c r="F115" s="7">
        <v>2335</v>
      </c>
      <c r="G115" s="7">
        <v>150</v>
      </c>
      <c r="H115" s="7">
        <v>75</v>
      </c>
      <c r="I115" s="7">
        <v>26114</v>
      </c>
      <c r="J115" s="7">
        <v>57549</v>
      </c>
      <c r="K115" s="7">
        <v>135</v>
      </c>
      <c r="L115" s="4" t="s">
        <v>42</v>
      </c>
      <c r="M115" s="4" t="s">
        <v>55</v>
      </c>
      <c r="N115" s="16">
        <f t="shared" si="2"/>
        <v>9.8031707130274953E-2</v>
      </c>
      <c r="O115" s="8">
        <f t="shared" si="3"/>
        <v>114</v>
      </c>
    </row>
    <row r="116" spans="1:15" ht="15.75" customHeight="1" x14ac:dyDescent="0.3">
      <c r="A116" s="4" t="s">
        <v>244</v>
      </c>
      <c r="B116" s="4" t="s">
        <v>24</v>
      </c>
      <c r="C116" s="5">
        <v>45656</v>
      </c>
      <c r="D116" s="4" t="s">
        <v>15</v>
      </c>
      <c r="E116" s="6" t="s">
        <v>37</v>
      </c>
      <c r="F116" s="7">
        <v>4214</v>
      </c>
      <c r="G116" s="7">
        <v>286</v>
      </c>
      <c r="H116" s="7">
        <v>127</v>
      </c>
      <c r="I116" s="7">
        <v>47293</v>
      </c>
      <c r="J116" s="7">
        <v>27184</v>
      </c>
      <c r="K116" s="7">
        <v>232</v>
      </c>
      <c r="L116" s="4" t="s">
        <v>42</v>
      </c>
      <c r="M116" s="4" t="s">
        <v>18</v>
      </c>
      <c r="N116" s="16">
        <f t="shared" si="2"/>
        <v>9.7836889180216949E-2</v>
      </c>
      <c r="O116" s="8">
        <f t="shared" si="3"/>
        <v>115</v>
      </c>
    </row>
    <row r="117" spans="1:15" ht="15.75" customHeight="1" x14ac:dyDescent="0.3">
      <c r="A117" s="4" t="s">
        <v>75</v>
      </c>
      <c r="B117" s="4" t="s">
        <v>24</v>
      </c>
      <c r="C117" s="5">
        <v>45785</v>
      </c>
      <c r="D117" s="4" t="s">
        <v>25</v>
      </c>
      <c r="E117" s="6" t="s">
        <v>51</v>
      </c>
      <c r="F117" s="7">
        <v>3316</v>
      </c>
      <c r="G117" s="7">
        <v>332</v>
      </c>
      <c r="H117" s="7">
        <v>268</v>
      </c>
      <c r="I117" s="7">
        <v>40095</v>
      </c>
      <c r="J117" s="7">
        <v>36913</v>
      </c>
      <c r="K117" s="7">
        <v>265</v>
      </c>
      <c r="L117" s="4" t="s">
        <v>27</v>
      </c>
      <c r="M117" s="4" t="s">
        <v>18</v>
      </c>
      <c r="N117" s="16">
        <f t="shared" si="2"/>
        <v>9.7668038408779148E-2</v>
      </c>
      <c r="O117" s="8">
        <f t="shared" si="3"/>
        <v>116</v>
      </c>
    </row>
    <row r="118" spans="1:15" ht="15.75" customHeight="1" x14ac:dyDescent="0.3">
      <c r="A118" s="4" t="s">
        <v>175</v>
      </c>
      <c r="B118" s="4" t="s">
        <v>24</v>
      </c>
      <c r="C118" s="5">
        <v>45569</v>
      </c>
      <c r="D118" s="4" t="s">
        <v>25</v>
      </c>
      <c r="E118" s="6" t="s">
        <v>20</v>
      </c>
      <c r="F118" s="7">
        <v>2870</v>
      </c>
      <c r="G118" s="7">
        <v>380</v>
      </c>
      <c r="H118" s="7">
        <v>393</v>
      </c>
      <c r="I118" s="7">
        <v>37621</v>
      </c>
      <c r="J118" s="7">
        <v>71794</v>
      </c>
      <c r="K118" s="7">
        <v>127</v>
      </c>
      <c r="L118" s="4" t="s">
        <v>27</v>
      </c>
      <c r="M118" s="4" t="s">
        <v>18</v>
      </c>
      <c r="N118" s="16">
        <f t="shared" si="2"/>
        <v>9.6834214933149046E-2</v>
      </c>
      <c r="O118" s="8">
        <f t="shared" si="3"/>
        <v>117</v>
      </c>
    </row>
    <row r="119" spans="1:15" ht="15.75" customHeight="1" x14ac:dyDescent="0.3">
      <c r="A119" s="4" t="s">
        <v>117</v>
      </c>
      <c r="B119" s="4" t="s">
        <v>24</v>
      </c>
      <c r="C119" s="5">
        <v>45805</v>
      </c>
      <c r="D119" s="4" t="s">
        <v>15</v>
      </c>
      <c r="E119" s="6" t="s">
        <v>49</v>
      </c>
      <c r="F119" s="7">
        <v>2418</v>
      </c>
      <c r="G119" s="7">
        <v>161</v>
      </c>
      <c r="H119" s="7">
        <v>360</v>
      </c>
      <c r="I119" s="7">
        <v>30589</v>
      </c>
      <c r="J119" s="7">
        <v>41383</v>
      </c>
      <c r="K119" s="7">
        <v>88</v>
      </c>
      <c r="L119" s="4" t="s">
        <v>42</v>
      </c>
      <c r="M119" s="4" t="s">
        <v>18</v>
      </c>
      <c r="N119" s="16">
        <f t="shared" si="2"/>
        <v>9.6080290300434801E-2</v>
      </c>
      <c r="O119" s="8">
        <f t="shared" si="3"/>
        <v>118</v>
      </c>
    </row>
    <row r="120" spans="1:15" ht="15.75" customHeight="1" x14ac:dyDescent="0.3">
      <c r="A120" s="4" t="s">
        <v>94</v>
      </c>
      <c r="B120" s="4" t="s">
        <v>14</v>
      </c>
      <c r="C120" s="5">
        <v>45722</v>
      </c>
      <c r="D120" s="4" t="s">
        <v>15</v>
      </c>
      <c r="E120" s="6" t="s">
        <v>37</v>
      </c>
      <c r="F120" s="7">
        <v>4851</v>
      </c>
      <c r="G120" s="7">
        <v>460</v>
      </c>
      <c r="H120" s="7">
        <v>212</v>
      </c>
      <c r="I120" s="7">
        <v>58075</v>
      </c>
      <c r="J120" s="7">
        <v>59574</v>
      </c>
      <c r="K120" s="7">
        <v>239</v>
      </c>
      <c r="L120" s="4" t="s">
        <v>21</v>
      </c>
      <c r="M120" s="4" t="s">
        <v>22</v>
      </c>
      <c r="N120" s="16">
        <f t="shared" si="2"/>
        <v>9.5101162290142052E-2</v>
      </c>
      <c r="O120" s="8">
        <f t="shared" si="3"/>
        <v>119</v>
      </c>
    </row>
    <row r="121" spans="1:15" ht="15.75" customHeight="1" x14ac:dyDescent="0.3">
      <c r="A121" s="4" t="s">
        <v>190</v>
      </c>
      <c r="B121" s="4" t="s">
        <v>24</v>
      </c>
      <c r="C121" s="5">
        <v>45442</v>
      </c>
      <c r="D121" s="4" t="s">
        <v>25</v>
      </c>
      <c r="E121" s="6" t="s">
        <v>51</v>
      </c>
      <c r="F121" s="7">
        <v>2311</v>
      </c>
      <c r="G121" s="7">
        <v>207</v>
      </c>
      <c r="H121" s="7">
        <v>363</v>
      </c>
      <c r="I121" s="7">
        <v>30349</v>
      </c>
      <c r="J121" s="7">
        <v>32925</v>
      </c>
      <c r="K121" s="7">
        <v>88</v>
      </c>
      <c r="L121" s="4" t="s">
        <v>27</v>
      </c>
      <c r="M121" s="4" t="s">
        <v>18</v>
      </c>
      <c r="N121" s="16">
        <f t="shared" si="2"/>
        <v>9.4928992718046723E-2</v>
      </c>
      <c r="O121" s="8">
        <f t="shared" si="3"/>
        <v>120</v>
      </c>
    </row>
    <row r="122" spans="1:15" ht="15.75" customHeight="1" x14ac:dyDescent="0.3">
      <c r="A122" s="4" t="s">
        <v>138</v>
      </c>
      <c r="B122" s="4" t="s">
        <v>24</v>
      </c>
      <c r="C122" s="5">
        <v>45366</v>
      </c>
      <c r="D122" s="4" t="s">
        <v>25</v>
      </c>
      <c r="E122" s="6" t="s">
        <v>37</v>
      </c>
      <c r="F122" s="7">
        <v>4969</v>
      </c>
      <c r="G122" s="7">
        <v>433</v>
      </c>
      <c r="H122" s="7">
        <v>237</v>
      </c>
      <c r="I122" s="7">
        <v>59552</v>
      </c>
      <c r="J122" s="7">
        <v>23885</v>
      </c>
      <c r="K122" s="7">
        <v>157</v>
      </c>
      <c r="L122" s="4" t="s">
        <v>39</v>
      </c>
      <c r="M122" s="4" t="s">
        <v>18</v>
      </c>
      <c r="N122" s="16">
        <f t="shared" si="2"/>
        <v>9.4690354648038683E-2</v>
      </c>
      <c r="O122" s="8">
        <f t="shared" si="3"/>
        <v>121</v>
      </c>
    </row>
    <row r="123" spans="1:15" ht="15.75" customHeight="1" x14ac:dyDescent="0.3">
      <c r="A123" s="4" t="s">
        <v>257</v>
      </c>
      <c r="B123" s="4" t="s">
        <v>14</v>
      </c>
      <c r="C123" s="5">
        <v>45808</v>
      </c>
      <c r="D123" s="4" t="s">
        <v>15</v>
      </c>
      <c r="E123" s="6" t="s">
        <v>35</v>
      </c>
      <c r="F123" s="7">
        <v>2169</v>
      </c>
      <c r="G123" s="7">
        <v>240</v>
      </c>
      <c r="H123" s="7">
        <v>57</v>
      </c>
      <c r="I123" s="7">
        <v>26109</v>
      </c>
      <c r="J123" s="7">
        <v>46667</v>
      </c>
      <c r="K123" s="7">
        <v>133</v>
      </c>
      <c r="L123" s="4" t="s">
        <v>17</v>
      </c>
      <c r="M123" s="4" t="s">
        <v>18</v>
      </c>
      <c r="N123" s="16">
        <f t="shared" si="2"/>
        <v>9.4450189589796618E-2</v>
      </c>
      <c r="O123" s="8">
        <f t="shared" si="3"/>
        <v>122</v>
      </c>
    </row>
    <row r="124" spans="1:15" ht="15.75" customHeight="1" x14ac:dyDescent="0.3">
      <c r="A124" s="4" t="s">
        <v>340</v>
      </c>
      <c r="B124" s="4" t="s">
        <v>14</v>
      </c>
      <c r="C124" s="5">
        <v>45329</v>
      </c>
      <c r="D124" s="4" t="s">
        <v>15</v>
      </c>
      <c r="E124" s="6" t="s">
        <v>32</v>
      </c>
      <c r="F124" s="7">
        <v>1883</v>
      </c>
      <c r="G124" s="7">
        <v>432</v>
      </c>
      <c r="H124" s="7">
        <v>397</v>
      </c>
      <c r="I124" s="7">
        <v>28759</v>
      </c>
      <c r="J124" s="7">
        <v>18691</v>
      </c>
      <c r="K124" s="7">
        <v>270</v>
      </c>
      <c r="L124" s="4" t="s">
        <v>17</v>
      </c>
      <c r="M124" s="4" t="s">
        <v>18</v>
      </c>
      <c r="N124" s="16">
        <f t="shared" si="2"/>
        <v>9.4300914496331587E-2</v>
      </c>
      <c r="O124" s="8">
        <f t="shared" si="3"/>
        <v>123</v>
      </c>
    </row>
    <row r="125" spans="1:15" ht="15.75" customHeight="1" x14ac:dyDescent="0.3">
      <c r="A125" s="4" t="s">
        <v>230</v>
      </c>
      <c r="B125" s="4" t="s">
        <v>14</v>
      </c>
      <c r="C125" s="5">
        <v>45673</v>
      </c>
      <c r="D125" s="4" t="s">
        <v>15</v>
      </c>
      <c r="E125" s="6" t="s">
        <v>32</v>
      </c>
      <c r="F125" s="7">
        <v>2605</v>
      </c>
      <c r="G125" s="7">
        <v>282</v>
      </c>
      <c r="H125" s="7">
        <v>148</v>
      </c>
      <c r="I125" s="7">
        <v>32201</v>
      </c>
      <c r="J125" s="7">
        <v>49583</v>
      </c>
      <c r="K125" s="7">
        <v>241</v>
      </c>
      <c r="L125" s="4" t="s">
        <v>17</v>
      </c>
      <c r="M125" s="4" t="s">
        <v>18</v>
      </c>
      <c r="N125" s="16">
        <f t="shared" si="2"/>
        <v>9.4251731312692155E-2</v>
      </c>
      <c r="O125" s="8">
        <f t="shared" si="3"/>
        <v>124</v>
      </c>
    </row>
    <row r="126" spans="1:15" ht="15.75" customHeight="1" x14ac:dyDescent="0.3">
      <c r="A126" s="4" t="s">
        <v>315</v>
      </c>
      <c r="B126" s="4" t="s">
        <v>14</v>
      </c>
      <c r="C126" s="5">
        <v>45341</v>
      </c>
      <c r="D126" s="4" t="s">
        <v>15</v>
      </c>
      <c r="E126" s="6" t="s">
        <v>29</v>
      </c>
      <c r="F126" s="7">
        <v>4752</v>
      </c>
      <c r="G126" s="7">
        <v>449</v>
      </c>
      <c r="H126" s="7">
        <v>309</v>
      </c>
      <c r="I126" s="7">
        <v>58530</v>
      </c>
      <c r="J126" s="7">
        <v>26630</v>
      </c>
      <c r="K126" s="7">
        <v>234</v>
      </c>
      <c r="L126" s="4" t="s">
        <v>21</v>
      </c>
      <c r="M126" s="4" t="s">
        <v>22</v>
      </c>
      <c r="N126" s="16">
        <f t="shared" si="2"/>
        <v>9.4139757389372969E-2</v>
      </c>
      <c r="O126" s="8">
        <f t="shared" si="3"/>
        <v>125</v>
      </c>
    </row>
    <row r="127" spans="1:15" ht="15.75" customHeight="1" x14ac:dyDescent="0.3">
      <c r="A127" s="4" t="s">
        <v>161</v>
      </c>
      <c r="B127" s="4" t="s">
        <v>14</v>
      </c>
      <c r="C127" s="5">
        <v>45777</v>
      </c>
      <c r="D127" s="4" t="s">
        <v>25</v>
      </c>
      <c r="E127" s="6" t="s">
        <v>26</v>
      </c>
      <c r="F127" s="7">
        <v>3916</v>
      </c>
      <c r="G127" s="7">
        <v>459</v>
      </c>
      <c r="H127" s="7">
        <v>229</v>
      </c>
      <c r="I127" s="7">
        <v>48989</v>
      </c>
      <c r="J127" s="7">
        <v>39768</v>
      </c>
      <c r="K127" s="7">
        <v>200</v>
      </c>
      <c r="L127" s="4" t="s">
        <v>42</v>
      </c>
      <c r="M127" s="4" t="s">
        <v>55</v>
      </c>
      <c r="N127" s="16">
        <f t="shared" si="2"/>
        <v>9.3980281287635997E-2</v>
      </c>
      <c r="O127" s="8">
        <f t="shared" si="3"/>
        <v>126</v>
      </c>
    </row>
    <row r="128" spans="1:15" ht="15.75" customHeight="1" x14ac:dyDescent="0.3">
      <c r="A128" s="4" t="s">
        <v>52</v>
      </c>
      <c r="B128" s="4" t="s">
        <v>24</v>
      </c>
      <c r="C128" s="5">
        <v>45655</v>
      </c>
      <c r="D128" s="4" t="s">
        <v>25</v>
      </c>
      <c r="E128" s="6" t="s">
        <v>26</v>
      </c>
      <c r="F128" s="7">
        <v>4049</v>
      </c>
      <c r="G128" s="7">
        <v>377</v>
      </c>
      <c r="H128" s="7">
        <v>94</v>
      </c>
      <c r="I128" s="7">
        <v>48182</v>
      </c>
      <c r="J128" s="7">
        <v>42875</v>
      </c>
      <c r="K128" s="7">
        <v>172</v>
      </c>
      <c r="L128" s="4" t="s">
        <v>27</v>
      </c>
      <c r="M128" s="4" t="s">
        <v>18</v>
      </c>
      <c r="N128" s="16">
        <f t="shared" si="2"/>
        <v>9.3810966751068869E-2</v>
      </c>
      <c r="O128" s="8">
        <f t="shared" si="3"/>
        <v>127</v>
      </c>
    </row>
    <row r="129" spans="1:15" ht="15.75" customHeight="1" x14ac:dyDescent="0.3">
      <c r="A129" s="4" t="s">
        <v>82</v>
      </c>
      <c r="B129" s="4" t="s">
        <v>14</v>
      </c>
      <c r="C129" s="5">
        <v>45683</v>
      </c>
      <c r="D129" s="4" t="s">
        <v>25</v>
      </c>
      <c r="E129" s="6" t="s">
        <v>35</v>
      </c>
      <c r="F129" s="7">
        <v>3451</v>
      </c>
      <c r="G129" s="7">
        <v>363</v>
      </c>
      <c r="H129" s="7">
        <v>393</v>
      </c>
      <c r="I129" s="7">
        <v>44853</v>
      </c>
      <c r="J129" s="7">
        <v>69032</v>
      </c>
      <c r="K129" s="7">
        <v>211</v>
      </c>
      <c r="L129" s="4" t="s">
        <v>42</v>
      </c>
      <c r="M129" s="4" t="s">
        <v>55</v>
      </c>
      <c r="N129" s="16">
        <f t="shared" si="2"/>
        <v>9.379528682585335E-2</v>
      </c>
      <c r="O129" s="8">
        <f t="shared" si="3"/>
        <v>128</v>
      </c>
    </row>
    <row r="130" spans="1:15" ht="15.75" customHeight="1" x14ac:dyDescent="0.3">
      <c r="A130" s="4" t="s">
        <v>309</v>
      </c>
      <c r="B130" s="4" t="s">
        <v>31</v>
      </c>
      <c r="C130" s="5">
        <v>45464</v>
      </c>
      <c r="D130" s="4" t="s">
        <v>57</v>
      </c>
      <c r="E130" s="6" t="s">
        <v>32</v>
      </c>
      <c r="F130" s="7">
        <v>4621</v>
      </c>
      <c r="G130" s="7">
        <v>374</v>
      </c>
      <c r="H130" s="7">
        <v>298</v>
      </c>
      <c r="I130" s="7">
        <v>56979</v>
      </c>
      <c r="J130" s="7">
        <v>24098</v>
      </c>
      <c r="K130" s="7">
        <v>205</v>
      </c>
      <c r="L130" s="4" t="s">
        <v>58</v>
      </c>
      <c r="M130" s="4" t="s">
        <v>59</v>
      </c>
      <c r="N130" s="16">
        <f t="shared" ref="N130:N193" si="4">(F130+G130+H130)/I130</f>
        <v>9.2893873181347508E-2</v>
      </c>
      <c r="O130" s="8">
        <f t="shared" si="3"/>
        <v>129</v>
      </c>
    </row>
    <row r="131" spans="1:15" ht="15.75" customHeight="1" x14ac:dyDescent="0.3">
      <c r="A131" s="4" t="s">
        <v>285</v>
      </c>
      <c r="B131" s="4" t="s">
        <v>24</v>
      </c>
      <c r="C131" s="5">
        <v>45666</v>
      </c>
      <c r="D131" s="4" t="s">
        <v>25</v>
      </c>
      <c r="E131" s="6" t="s">
        <v>51</v>
      </c>
      <c r="F131" s="7">
        <v>3817</v>
      </c>
      <c r="G131" s="7">
        <v>284</v>
      </c>
      <c r="H131" s="7">
        <v>204</v>
      </c>
      <c r="I131" s="7">
        <v>46434</v>
      </c>
      <c r="J131" s="7">
        <v>53396</v>
      </c>
      <c r="K131" s="7">
        <v>104</v>
      </c>
      <c r="L131" s="4" t="s">
        <v>27</v>
      </c>
      <c r="M131" s="4" t="s">
        <v>18</v>
      </c>
      <c r="N131" s="16">
        <f t="shared" si="4"/>
        <v>9.2712236723090841E-2</v>
      </c>
      <c r="O131" s="8">
        <f t="shared" ref="O131:O194" si="5">RANK(N131,N:N,0)</f>
        <v>130</v>
      </c>
    </row>
    <row r="132" spans="1:15" ht="15.75" customHeight="1" x14ac:dyDescent="0.3">
      <c r="A132" s="4" t="s">
        <v>183</v>
      </c>
      <c r="B132" s="4" t="s">
        <v>14</v>
      </c>
      <c r="C132" s="5">
        <v>45460</v>
      </c>
      <c r="D132" s="4" t="s">
        <v>15</v>
      </c>
      <c r="E132" s="6" t="s">
        <v>16</v>
      </c>
      <c r="F132" s="7">
        <v>4283</v>
      </c>
      <c r="G132" s="7">
        <v>471</v>
      </c>
      <c r="H132" s="7">
        <v>156</v>
      </c>
      <c r="I132" s="7">
        <v>53004</v>
      </c>
      <c r="J132" s="7">
        <v>25678</v>
      </c>
      <c r="K132" s="7">
        <v>105</v>
      </c>
      <c r="L132" s="4" t="s">
        <v>21</v>
      </c>
      <c r="M132" s="4" t="s">
        <v>22</v>
      </c>
      <c r="N132" s="16">
        <f t="shared" si="4"/>
        <v>9.2634518149573616E-2</v>
      </c>
      <c r="O132" s="8">
        <f t="shared" si="5"/>
        <v>131</v>
      </c>
    </row>
    <row r="133" spans="1:15" ht="15.75" customHeight="1" x14ac:dyDescent="0.3">
      <c r="A133" s="4" t="s">
        <v>172</v>
      </c>
      <c r="B133" s="4" t="s">
        <v>24</v>
      </c>
      <c r="C133" s="5">
        <v>45563</v>
      </c>
      <c r="D133" s="4" t="s">
        <v>15</v>
      </c>
      <c r="E133" s="6" t="s">
        <v>35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4" t="s">
        <v>42</v>
      </c>
      <c r="M133" s="4" t="s">
        <v>18</v>
      </c>
      <c r="N133" s="16">
        <f t="shared" si="4"/>
        <v>9.2466575934672959E-2</v>
      </c>
      <c r="O133" s="8">
        <f t="shared" si="5"/>
        <v>132</v>
      </c>
    </row>
    <row r="134" spans="1:15" ht="15.75" customHeight="1" x14ac:dyDescent="0.3">
      <c r="A134" s="4" t="s">
        <v>192</v>
      </c>
      <c r="B134" s="4" t="s">
        <v>14</v>
      </c>
      <c r="C134" s="5">
        <v>45562</v>
      </c>
      <c r="D134" s="4" t="s">
        <v>15</v>
      </c>
      <c r="E134" s="6" t="s">
        <v>16</v>
      </c>
      <c r="F134" s="7">
        <v>3118</v>
      </c>
      <c r="G134" s="7">
        <v>116</v>
      </c>
      <c r="H134" s="7">
        <v>195</v>
      </c>
      <c r="I134" s="7">
        <v>37100</v>
      </c>
      <c r="J134" s="7">
        <v>62629</v>
      </c>
      <c r="K134" s="7">
        <v>272</v>
      </c>
      <c r="L134" s="4" t="s">
        <v>21</v>
      </c>
      <c r="M134" s="4" t="s">
        <v>22</v>
      </c>
      <c r="N134" s="16">
        <f t="shared" si="4"/>
        <v>9.2425876010781671E-2</v>
      </c>
      <c r="O134" s="8">
        <f t="shared" si="5"/>
        <v>133</v>
      </c>
    </row>
    <row r="135" spans="1:15" ht="15.75" customHeight="1" x14ac:dyDescent="0.3">
      <c r="A135" s="4" t="s">
        <v>206</v>
      </c>
      <c r="B135" s="4" t="s">
        <v>14</v>
      </c>
      <c r="C135" s="5">
        <v>45387</v>
      </c>
      <c r="D135" s="4" t="s">
        <v>15</v>
      </c>
      <c r="E135" s="6" t="s">
        <v>26</v>
      </c>
      <c r="F135" s="7">
        <v>4383</v>
      </c>
      <c r="G135" s="7">
        <v>352</v>
      </c>
      <c r="H135" s="7">
        <v>176</v>
      </c>
      <c r="I135" s="7">
        <v>53239</v>
      </c>
      <c r="J135" s="7">
        <v>34168</v>
      </c>
      <c r="K135" s="7">
        <v>288</v>
      </c>
      <c r="L135" s="4" t="s">
        <v>21</v>
      </c>
      <c r="M135" s="4" t="s">
        <v>22</v>
      </c>
      <c r="N135" s="16">
        <f t="shared" si="4"/>
        <v>9.2244407295403744E-2</v>
      </c>
      <c r="O135" s="8">
        <f t="shared" si="5"/>
        <v>134</v>
      </c>
    </row>
    <row r="136" spans="1:15" ht="15.75" customHeight="1" x14ac:dyDescent="0.3">
      <c r="A136" s="4" t="s">
        <v>104</v>
      </c>
      <c r="B136" s="4" t="s">
        <v>24</v>
      </c>
      <c r="C136" s="5">
        <v>45679</v>
      </c>
      <c r="D136" s="4" t="s">
        <v>25</v>
      </c>
      <c r="E136" s="6" t="s">
        <v>26</v>
      </c>
      <c r="F136" s="7">
        <v>4478</v>
      </c>
      <c r="G136" s="7">
        <v>101</v>
      </c>
      <c r="H136" s="7">
        <v>121</v>
      </c>
      <c r="I136" s="7">
        <v>51035</v>
      </c>
      <c r="J136" s="7">
        <v>58207</v>
      </c>
      <c r="K136" s="7">
        <v>205</v>
      </c>
      <c r="L136" s="4" t="s">
        <v>27</v>
      </c>
      <c r="M136" s="4" t="s">
        <v>18</v>
      </c>
      <c r="N136" s="16">
        <f t="shared" si="4"/>
        <v>9.2093661212893113E-2</v>
      </c>
      <c r="O136" s="8">
        <f t="shared" si="5"/>
        <v>135</v>
      </c>
    </row>
    <row r="137" spans="1:15" ht="15.75" customHeight="1" x14ac:dyDescent="0.3">
      <c r="A137" s="4" t="s">
        <v>269</v>
      </c>
      <c r="B137" s="4" t="s">
        <v>31</v>
      </c>
      <c r="C137" s="5">
        <v>45346</v>
      </c>
      <c r="D137" s="4" t="s">
        <v>15</v>
      </c>
      <c r="E137" s="6" t="s">
        <v>32</v>
      </c>
      <c r="F137" s="7">
        <v>4653</v>
      </c>
      <c r="G137" s="7">
        <v>226</v>
      </c>
      <c r="H137" s="7">
        <v>349</v>
      </c>
      <c r="I137" s="7">
        <v>56876</v>
      </c>
      <c r="J137" s="7">
        <v>28452</v>
      </c>
      <c r="K137" s="7">
        <v>257</v>
      </c>
      <c r="L137" s="4" t="s">
        <v>33</v>
      </c>
      <c r="M137" s="4" t="s">
        <v>22</v>
      </c>
      <c r="N137" s="16">
        <f t="shared" si="4"/>
        <v>9.191926295801392E-2</v>
      </c>
      <c r="O137" s="8">
        <f t="shared" si="5"/>
        <v>136</v>
      </c>
    </row>
    <row r="138" spans="1:15" ht="15.75" customHeight="1" x14ac:dyDescent="0.3">
      <c r="A138" s="4" t="s">
        <v>305</v>
      </c>
      <c r="B138" s="4" t="s">
        <v>24</v>
      </c>
      <c r="C138" s="5">
        <v>45825</v>
      </c>
      <c r="D138" s="4" t="s">
        <v>25</v>
      </c>
      <c r="E138" s="6" t="s">
        <v>20</v>
      </c>
      <c r="F138" s="7">
        <v>4341</v>
      </c>
      <c r="G138" s="7">
        <v>141</v>
      </c>
      <c r="H138" s="7">
        <v>63</v>
      </c>
      <c r="I138" s="7">
        <v>50081</v>
      </c>
      <c r="J138" s="7">
        <v>27507</v>
      </c>
      <c r="K138" s="7">
        <v>221</v>
      </c>
      <c r="L138" s="4" t="s">
        <v>39</v>
      </c>
      <c r="M138" s="4" t="s">
        <v>18</v>
      </c>
      <c r="N138" s="16">
        <f t="shared" si="4"/>
        <v>9.0752980172121162E-2</v>
      </c>
      <c r="O138" s="8">
        <f t="shared" si="5"/>
        <v>137</v>
      </c>
    </row>
    <row r="139" spans="1:15" ht="15.75" customHeight="1" x14ac:dyDescent="0.3">
      <c r="A139" s="4" t="s">
        <v>106</v>
      </c>
      <c r="B139" s="4" t="s">
        <v>14</v>
      </c>
      <c r="C139" s="5">
        <v>45763</v>
      </c>
      <c r="D139" s="4" t="s">
        <v>15</v>
      </c>
      <c r="E139" s="6" t="s">
        <v>29</v>
      </c>
      <c r="F139" s="7">
        <v>4836</v>
      </c>
      <c r="G139" s="7">
        <v>331</v>
      </c>
      <c r="H139" s="7">
        <v>140</v>
      </c>
      <c r="I139" s="7">
        <v>58792</v>
      </c>
      <c r="J139" s="7">
        <v>47711</v>
      </c>
      <c r="K139" s="7">
        <v>227</v>
      </c>
      <c r="L139" s="4" t="s">
        <v>17</v>
      </c>
      <c r="M139" s="4" t="s">
        <v>18</v>
      </c>
      <c r="N139" s="16">
        <f t="shared" si="4"/>
        <v>9.0267383317458164E-2</v>
      </c>
      <c r="O139" s="8">
        <f t="shared" si="5"/>
        <v>138</v>
      </c>
    </row>
    <row r="140" spans="1:15" ht="15.75" customHeight="1" x14ac:dyDescent="0.3">
      <c r="A140" s="4" t="s">
        <v>232</v>
      </c>
      <c r="B140" s="4" t="s">
        <v>24</v>
      </c>
      <c r="C140" s="5">
        <v>45551</v>
      </c>
      <c r="D140" s="4" t="s">
        <v>25</v>
      </c>
      <c r="E140" s="6" t="s">
        <v>35</v>
      </c>
      <c r="F140" s="7">
        <v>4422</v>
      </c>
      <c r="G140" s="7">
        <v>434</v>
      </c>
      <c r="H140" s="7">
        <v>156</v>
      </c>
      <c r="I140" s="7">
        <v>56165</v>
      </c>
      <c r="J140" s="7">
        <v>52431</v>
      </c>
      <c r="K140" s="7">
        <v>173</v>
      </c>
      <c r="L140" s="4" t="s">
        <v>39</v>
      </c>
      <c r="M140" s="4" t="s">
        <v>18</v>
      </c>
      <c r="N140" s="16">
        <f t="shared" si="4"/>
        <v>8.9237069349238848E-2</v>
      </c>
      <c r="O140" s="8">
        <f t="shared" si="5"/>
        <v>139</v>
      </c>
    </row>
    <row r="141" spans="1:15" ht="15.75" customHeight="1" x14ac:dyDescent="0.3">
      <c r="A141" s="4" t="s">
        <v>144</v>
      </c>
      <c r="B141" s="4" t="s">
        <v>24</v>
      </c>
      <c r="C141" s="5">
        <v>45413</v>
      </c>
      <c r="D141" s="4" t="s">
        <v>25</v>
      </c>
      <c r="E141" s="6" t="s">
        <v>35</v>
      </c>
      <c r="F141" s="7">
        <v>2587</v>
      </c>
      <c r="G141" s="7">
        <v>447</v>
      </c>
      <c r="H141" s="7">
        <v>183</v>
      </c>
      <c r="I141" s="7">
        <v>36266</v>
      </c>
      <c r="J141" s="7">
        <v>32877</v>
      </c>
      <c r="K141" s="7">
        <v>132</v>
      </c>
      <c r="L141" s="4" t="s">
        <v>39</v>
      </c>
      <c r="M141" s="4" t="s">
        <v>18</v>
      </c>
      <c r="N141" s="16">
        <f t="shared" si="4"/>
        <v>8.8705674736667947E-2</v>
      </c>
      <c r="O141" s="8">
        <f t="shared" si="5"/>
        <v>140</v>
      </c>
    </row>
    <row r="142" spans="1:15" ht="15.75" customHeight="1" x14ac:dyDescent="0.3">
      <c r="A142" s="4" t="s">
        <v>98</v>
      </c>
      <c r="B142" s="4" t="s">
        <v>31</v>
      </c>
      <c r="C142" s="5">
        <v>45490</v>
      </c>
      <c r="D142" s="4" t="s">
        <v>15</v>
      </c>
      <c r="E142" s="6" t="s">
        <v>41</v>
      </c>
      <c r="F142" s="7">
        <v>3135</v>
      </c>
      <c r="G142" s="7">
        <v>110</v>
      </c>
      <c r="H142" s="7">
        <v>215</v>
      </c>
      <c r="I142" s="7">
        <v>39192</v>
      </c>
      <c r="J142" s="7">
        <v>24744</v>
      </c>
      <c r="K142" s="7">
        <v>177</v>
      </c>
      <c r="L142" s="4" t="s">
        <v>33</v>
      </c>
      <c r="M142" s="4" t="s">
        <v>22</v>
      </c>
      <c r="N142" s="16">
        <f t="shared" si="4"/>
        <v>8.8283323127168814E-2</v>
      </c>
      <c r="O142" s="8">
        <f t="shared" si="5"/>
        <v>141</v>
      </c>
    </row>
    <row r="143" spans="1:15" ht="15.75" customHeight="1" x14ac:dyDescent="0.3">
      <c r="A143" s="4" t="s">
        <v>121</v>
      </c>
      <c r="B143" s="4" t="s">
        <v>24</v>
      </c>
      <c r="C143" s="5">
        <v>45723</v>
      </c>
      <c r="D143" s="4" t="s">
        <v>15</v>
      </c>
      <c r="E143" s="6" t="s">
        <v>37</v>
      </c>
      <c r="F143" s="7">
        <v>4234</v>
      </c>
      <c r="G143" s="7">
        <v>486</v>
      </c>
      <c r="H143" s="7">
        <v>276</v>
      </c>
      <c r="I143" s="7">
        <v>56623</v>
      </c>
      <c r="J143" s="7">
        <v>41343</v>
      </c>
      <c r="K143" s="7">
        <v>184</v>
      </c>
      <c r="L143" s="4" t="s">
        <v>45</v>
      </c>
      <c r="M143" s="4" t="s">
        <v>22</v>
      </c>
      <c r="N143" s="16">
        <f t="shared" si="4"/>
        <v>8.8232696960599044E-2</v>
      </c>
      <c r="O143" s="8">
        <f t="shared" si="5"/>
        <v>142</v>
      </c>
    </row>
    <row r="144" spans="1:15" ht="15.75" customHeight="1" x14ac:dyDescent="0.3">
      <c r="A144" s="4" t="s">
        <v>101</v>
      </c>
      <c r="B144" s="4" t="s">
        <v>31</v>
      </c>
      <c r="C144" s="5">
        <v>45292</v>
      </c>
      <c r="D144" s="4" t="s">
        <v>57</v>
      </c>
      <c r="E144" s="6" t="s">
        <v>20</v>
      </c>
      <c r="F144" s="7">
        <v>3437</v>
      </c>
      <c r="G144" s="7">
        <v>129</v>
      </c>
      <c r="H144" s="7">
        <v>359</v>
      </c>
      <c r="I144" s="7">
        <v>44558</v>
      </c>
      <c r="J144" s="7">
        <v>30854</v>
      </c>
      <c r="K144" s="7">
        <v>171</v>
      </c>
      <c r="L144" s="4" t="s">
        <v>58</v>
      </c>
      <c r="M144" s="4" t="s">
        <v>59</v>
      </c>
      <c r="N144" s="16">
        <f t="shared" si="4"/>
        <v>8.8087436599488311E-2</v>
      </c>
      <c r="O144" s="8">
        <f t="shared" si="5"/>
        <v>143</v>
      </c>
    </row>
    <row r="145" spans="1:15" ht="15.75" customHeight="1" x14ac:dyDescent="0.3">
      <c r="A145" s="4" t="s">
        <v>38</v>
      </c>
      <c r="B145" s="4" t="s">
        <v>24</v>
      </c>
      <c r="C145" s="5">
        <v>45421</v>
      </c>
      <c r="D145" s="4" t="s">
        <v>25</v>
      </c>
      <c r="E145" s="6" t="s">
        <v>29</v>
      </c>
      <c r="F145" s="7">
        <v>1428</v>
      </c>
      <c r="G145" s="7">
        <v>347</v>
      </c>
      <c r="H145" s="7">
        <v>67</v>
      </c>
      <c r="I145" s="7">
        <v>21148</v>
      </c>
      <c r="J145" s="7">
        <v>19712</v>
      </c>
      <c r="K145" s="7">
        <v>120</v>
      </c>
      <c r="L145" s="4" t="s">
        <v>39</v>
      </c>
      <c r="M145" s="4" t="s">
        <v>18</v>
      </c>
      <c r="N145" s="16">
        <f t="shared" si="4"/>
        <v>8.7100435029317191E-2</v>
      </c>
      <c r="O145" s="8">
        <f t="shared" si="5"/>
        <v>144</v>
      </c>
    </row>
    <row r="146" spans="1:15" ht="15.75" customHeight="1" x14ac:dyDescent="0.3">
      <c r="A146" s="4" t="s">
        <v>19</v>
      </c>
      <c r="B146" s="4" t="s">
        <v>14</v>
      </c>
      <c r="C146" s="5">
        <v>45689</v>
      </c>
      <c r="D146" s="4" t="s">
        <v>15</v>
      </c>
      <c r="E146" s="6" t="s">
        <v>20</v>
      </c>
      <c r="F146" s="7">
        <v>1934</v>
      </c>
      <c r="G146" s="7">
        <v>210</v>
      </c>
      <c r="H146" s="7">
        <v>393</v>
      </c>
      <c r="I146" s="7">
        <v>29129</v>
      </c>
      <c r="J146" s="7">
        <v>73287</v>
      </c>
      <c r="K146" s="7">
        <v>273</v>
      </c>
      <c r="L146" s="4" t="s">
        <v>21</v>
      </c>
      <c r="M146" s="4" t="s">
        <v>22</v>
      </c>
      <c r="N146" s="16">
        <f t="shared" si="4"/>
        <v>8.7095334546328396E-2</v>
      </c>
      <c r="O146" s="8">
        <f t="shared" si="5"/>
        <v>145</v>
      </c>
    </row>
    <row r="147" spans="1:15" ht="15.75" customHeight="1" x14ac:dyDescent="0.3">
      <c r="A147" s="4" t="s">
        <v>180</v>
      </c>
      <c r="B147" s="4" t="s">
        <v>24</v>
      </c>
      <c r="C147" s="5">
        <v>45531</v>
      </c>
      <c r="D147" s="4" t="s">
        <v>25</v>
      </c>
      <c r="E147" s="6" t="s">
        <v>26</v>
      </c>
      <c r="F147" s="7">
        <v>1856</v>
      </c>
      <c r="G147" s="7">
        <v>357</v>
      </c>
      <c r="H147" s="7">
        <v>348</v>
      </c>
      <c r="I147" s="7">
        <v>29428</v>
      </c>
      <c r="J147" s="7">
        <v>70206</v>
      </c>
      <c r="K147" s="7">
        <v>236</v>
      </c>
      <c r="L147" s="4" t="s">
        <v>27</v>
      </c>
      <c r="M147" s="4" t="s">
        <v>18</v>
      </c>
      <c r="N147" s="16">
        <f t="shared" si="4"/>
        <v>8.702596166915863E-2</v>
      </c>
      <c r="O147" s="8">
        <f t="shared" si="5"/>
        <v>146</v>
      </c>
    </row>
    <row r="148" spans="1:15" ht="15.75" customHeight="1" x14ac:dyDescent="0.3">
      <c r="A148" s="4" t="s">
        <v>155</v>
      </c>
      <c r="B148" s="4" t="s">
        <v>14</v>
      </c>
      <c r="C148" s="5">
        <v>45762</v>
      </c>
      <c r="D148" s="4" t="s">
        <v>15</v>
      </c>
      <c r="E148" s="6" t="s">
        <v>20</v>
      </c>
      <c r="F148" s="7">
        <v>4177</v>
      </c>
      <c r="G148" s="7">
        <v>489</v>
      </c>
      <c r="H148" s="7">
        <v>331</v>
      </c>
      <c r="I148" s="7">
        <v>57451</v>
      </c>
      <c r="J148" s="7">
        <v>73793</v>
      </c>
      <c r="K148" s="7">
        <v>251</v>
      </c>
      <c r="L148" s="4" t="s">
        <v>21</v>
      </c>
      <c r="M148" s="4" t="s">
        <v>22</v>
      </c>
      <c r="N148" s="16">
        <f t="shared" si="4"/>
        <v>8.6978468608031198E-2</v>
      </c>
      <c r="O148" s="8">
        <f t="shared" si="5"/>
        <v>147</v>
      </c>
    </row>
    <row r="149" spans="1:15" ht="15.75" customHeight="1" x14ac:dyDescent="0.3">
      <c r="A149" s="4" t="s">
        <v>262</v>
      </c>
      <c r="B149" s="4" t="s">
        <v>24</v>
      </c>
      <c r="C149" s="5">
        <v>45829</v>
      </c>
      <c r="D149" s="4" t="s">
        <v>15</v>
      </c>
      <c r="E149" s="6" t="s">
        <v>20</v>
      </c>
      <c r="F149" s="7">
        <v>3611</v>
      </c>
      <c r="G149" s="7">
        <v>127</v>
      </c>
      <c r="H149" s="7">
        <v>139</v>
      </c>
      <c r="I149" s="7">
        <v>44768</v>
      </c>
      <c r="J149" s="7">
        <v>29435</v>
      </c>
      <c r="K149" s="7">
        <v>178</v>
      </c>
      <c r="L149" s="4" t="s">
        <v>42</v>
      </c>
      <c r="M149" s="4" t="s">
        <v>18</v>
      </c>
      <c r="N149" s="16">
        <f t="shared" si="4"/>
        <v>8.6602037169406718E-2</v>
      </c>
      <c r="O149" s="8">
        <f t="shared" si="5"/>
        <v>148</v>
      </c>
    </row>
    <row r="150" spans="1:15" ht="15.75" customHeight="1" x14ac:dyDescent="0.3">
      <c r="A150" s="4" t="s">
        <v>147</v>
      </c>
      <c r="B150" s="4" t="s">
        <v>24</v>
      </c>
      <c r="C150" s="5">
        <v>45670</v>
      </c>
      <c r="D150" s="4" t="s">
        <v>15</v>
      </c>
      <c r="E150" s="6" t="s">
        <v>32</v>
      </c>
      <c r="F150" s="7">
        <v>4090</v>
      </c>
      <c r="G150" s="7">
        <v>209</v>
      </c>
      <c r="H150" s="7">
        <v>278</v>
      </c>
      <c r="I150" s="7">
        <v>52853</v>
      </c>
      <c r="J150" s="7">
        <v>57084</v>
      </c>
      <c r="K150" s="7">
        <v>102</v>
      </c>
      <c r="L150" s="4" t="s">
        <v>45</v>
      </c>
      <c r="M150" s="4" t="s">
        <v>22</v>
      </c>
      <c r="N150" s="16">
        <f t="shared" si="4"/>
        <v>8.6598679355949518E-2</v>
      </c>
      <c r="O150" s="8">
        <f t="shared" si="5"/>
        <v>149</v>
      </c>
    </row>
    <row r="151" spans="1:15" ht="15.75" customHeight="1" x14ac:dyDescent="0.3">
      <c r="A151" s="4" t="s">
        <v>284</v>
      </c>
      <c r="B151" s="4" t="s">
        <v>31</v>
      </c>
      <c r="C151" s="5">
        <v>45816</v>
      </c>
      <c r="D151" s="4" t="s">
        <v>15</v>
      </c>
      <c r="E151" s="6" t="s">
        <v>32</v>
      </c>
      <c r="F151" s="7">
        <v>4375</v>
      </c>
      <c r="G151" s="7">
        <v>303</v>
      </c>
      <c r="H151" s="7">
        <v>294</v>
      </c>
      <c r="I151" s="7">
        <v>57468</v>
      </c>
      <c r="J151" s="7">
        <v>53397</v>
      </c>
      <c r="K151" s="7">
        <v>159</v>
      </c>
      <c r="L151" s="4" t="s">
        <v>33</v>
      </c>
      <c r="M151" s="4" t="s">
        <v>22</v>
      </c>
      <c r="N151" s="16">
        <f t="shared" si="4"/>
        <v>8.6517714206166912E-2</v>
      </c>
      <c r="O151" s="8">
        <f t="shared" si="5"/>
        <v>150</v>
      </c>
    </row>
    <row r="152" spans="1:15" ht="15.75" customHeight="1" x14ac:dyDescent="0.3">
      <c r="A152" s="4" t="s">
        <v>323</v>
      </c>
      <c r="B152" s="4" t="s">
        <v>14</v>
      </c>
      <c r="C152" s="5">
        <v>45531</v>
      </c>
      <c r="D152" s="4" t="s">
        <v>15</v>
      </c>
      <c r="E152" s="6" t="s">
        <v>32</v>
      </c>
      <c r="F152" s="7">
        <v>4197</v>
      </c>
      <c r="G152" s="7">
        <v>359</v>
      </c>
      <c r="H152" s="7">
        <v>280</v>
      </c>
      <c r="I152" s="7">
        <v>56048</v>
      </c>
      <c r="J152" s="7">
        <v>70930</v>
      </c>
      <c r="K152" s="7">
        <v>295</v>
      </c>
      <c r="L152" s="4" t="s">
        <v>21</v>
      </c>
      <c r="M152" s="4" t="s">
        <v>22</v>
      </c>
      <c r="N152" s="16">
        <f t="shared" si="4"/>
        <v>8.628318584070796E-2</v>
      </c>
      <c r="O152" s="8">
        <f t="shared" si="5"/>
        <v>151</v>
      </c>
    </row>
    <row r="153" spans="1:15" ht="15.75" customHeight="1" x14ac:dyDescent="0.3">
      <c r="A153" s="4" t="s">
        <v>225</v>
      </c>
      <c r="B153" s="4" t="s">
        <v>31</v>
      </c>
      <c r="C153" s="5">
        <v>45769</v>
      </c>
      <c r="D153" s="4" t="s">
        <v>57</v>
      </c>
      <c r="E153" s="6" t="s">
        <v>26</v>
      </c>
      <c r="F153" s="7">
        <v>2733</v>
      </c>
      <c r="G153" s="7">
        <v>297</v>
      </c>
      <c r="H153" s="7">
        <v>235</v>
      </c>
      <c r="I153" s="7">
        <v>37980</v>
      </c>
      <c r="J153" s="7">
        <v>33058</v>
      </c>
      <c r="K153" s="7">
        <v>219</v>
      </c>
      <c r="L153" s="4" t="s">
        <v>58</v>
      </c>
      <c r="M153" s="4" t="s">
        <v>59</v>
      </c>
      <c r="N153" s="16">
        <f t="shared" si="4"/>
        <v>8.5966298051606105E-2</v>
      </c>
      <c r="O153" s="8">
        <f t="shared" si="5"/>
        <v>152</v>
      </c>
    </row>
    <row r="154" spans="1:15" ht="15.75" customHeight="1" x14ac:dyDescent="0.3">
      <c r="A154" s="4" t="s">
        <v>297</v>
      </c>
      <c r="B154" s="4" t="s">
        <v>24</v>
      </c>
      <c r="C154" s="5">
        <v>45451</v>
      </c>
      <c r="D154" s="4" t="s">
        <v>25</v>
      </c>
      <c r="E154" s="6" t="s">
        <v>41</v>
      </c>
      <c r="F154" s="7">
        <v>3413</v>
      </c>
      <c r="G154" s="7">
        <v>326</v>
      </c>
      <c r="H154" s="7">
        <v>86</v>
      </c>
      <c r="I154" s="7">
        <v>44680</v>
      </c>
      <c r="J154" s="7">
        <v>52719</v>
      </c>
      <c r="K154" s="7">
        <v>272</v>
      </c>
      <c r="L154" s="4" t="s">
        <v>39</v>
      </c>
      <c r="M154" s="4" t="s">
        <v>18</v>
      </c>
      <c r="N154" s="16">
        <f t="shared" si="4"/>
        <v>8.5608773500447627E-2</v>
      </c>
      <c r="O154" s="8">
        <f t="shared" si="5"/>
        <v>153</v>
      </c>
    </row>
    <row r="155" spans="1:15" ht="15.75" customHeight="1" x14ac:dyDescent="0.3">
      <c r="A155" s="4" t="s">
        <v>164</v>
      </c>
      <c r="B155" s="4" t="s">
        <v>24</v>
      </c>
      <c r="C155" s="5">
        <v>45421</v>
      </c>
      <c r="D155" s="4" t="s">
        <v>25</v>
      </c>
      <c r="E155" s="6" t="s">
        <v>26</v>
      </c>
      <c r="F155" s="7">
        <v>3277</v>
      </c>
      <c r="G155" s="7">
        <v>423</v>
      </c>
      <c r="H155" s="7">
        <v>259</v>
      </c>
      <c r="I155" s="7">
        <v>46328</v>
      </c>
      <c r="J155" s="7">
        <v>44293</v>
      </c>
      <c r="K155" s="7">
        <v>299</v>
      </c>
      <c r="L155" s="4" t="s">
        <v>17</v>
      </c>
      <c r="M155" s="4" t="s">
        <v>18</v>
      </c>
      <c r="N155" s="16">
        <f t="shared" si="4"/>
        <v>8.5455879813503707E-2</v>
      </c>
      <c r="O155" s="8">
        <f t="shared" si="5"/>
        <v>154</v>
      </c>
    </row>
    <row r="156" spans="1:15" ht="15.75" customHeight="1" x14ac:dyDescent="0.3">
      <c r="A156" s="4" t="s">
        <v>48</v>
      </c>
      <c r="B156" s="4" t="s">
        <v>24</v>
      </c>
      <c r="C156" s="5">
        <v>45573</v>
      </c>
      <c r="D156" s="4" t="s">
        <v>15</v>
      </c>
      <c r="E156" s="6" t="s">
        <v>49</v>
      </c>
      <c r="F156" s="7">
        <v>2460</v>
      </c>
      <c r="G156" s="7">
        <v>409</v>
      </c>
      <c r="H156" s="7">
        <v>253</v>
      </c>
      <c r="I156" s="7">
        <v>36702</v>
      </c>
      <c r="J156" s="7">
        <v>46122</v>
      </c>
      <c r="K156" s="7">
        <v>264</v>
      </c>
      <c r="L156" s="4" t="s">
        <v>42</v>
      </c>
      <c r="M156" s="4" t="s">
        <v>18</v>
      </c>
      <c r="N156" s="16">
        <f t="shared" si="4"/>
        <v>8.5063484278785892E-2</v>
      </c>
      <c r="O156" s="8">
        <f t="shared" si="5"/>
        <v>155</v>
      </c>
    </row>
    <row r="157" spans="1:15" ht="15.75" customHeight="1" x14ac:dyDescent="0.3">
      <c r="A157" s="4" t="s">
        <v>327</v>
      </c>
      <c r="B157" s="4" t="s">
        <v>31</v>
      </c>
      <c r="C157" s="5">
        <v>45468</v>
      </c>
      <c r="D157" s="4" t="s">
        <v>15</v>
      </c>
      <c r="E157" s="6" t="s">
        <v>51</v>
      </c>
      <c r="F157" s="7">
        <v>2172</v>
      </c>
      <c r="G157" s="7">
        <v>338</v>
      </c>
      <c r="H157" s="7">
        <v>70</v>
      </c>
      <c r="I157" s="7">
        <v>30515</v>
      </c>
      <c r="J157" s="7">
        <v>57853</v>
      </c>
      <c r="K157" s="7">
        <v>156</v>
      </c>
      <c r="L157" s="4" t="s">
        <v>33</v>
      </c>
      <c r="M157" s="4" t="s">
        <v>22</v>
      </c>
      <c r="N157" s="16">
        <f t="shared" si="4"/>
        <v>8.4548582664263475E-2</v>
      </c>
      <c r="O157" s="8">
        <f t="shared" si="5"/>
        <v>156</v>
      </c>
    </row>
    <row r="158" spans="1:15" ht="15.75" customHeight="1" x14ac:dyDescent="0.3">
      <c r="A158" s="4" t="s">
        <v>209</v>
      </c>
      <c r="B158" s="4" t="s">
        <v>31</v>
      </c>
      <c r="C158" s="5">
        <v>45660</v>
      </c>
      <c r="D158" s="4" t="s">
        <v>15</v>
      </c>
      <c r="E158" s="6" t="s">
        <v>26</v>
      </c>
      <c r="F158" s="7">
        <v>3782</v>
      </c>
      <c r="G158" s="7">
        <v>484</v>
      </c>
      <c r="H158" s="7">
        <v>144</v>
      </c>
      <c r="I158" s="7">
        <v>52172</v>
      </c>
      <c r="J158" s="7">
        <v>59386</v>
      </c>
      <c r="K158" s="7">
        <v>175</v>
      </c>
      <c r="L158" s="4" t="s">
        <v>33</v>
      </c>
      <c r="M158" s="4" t="s">
        <v>22</v>
      </c>
      <c r="N158" s="16">
        <f t="shared" si="4"/>
        <v>8.4528099363643333E-2</v>
      </c>
      <c r="O158" s="8">
        <f t="shared" si="5"/>
        <v>157</v>
      </c>
    </row>
    <row r="159" spans="1:15" ht="15.75" customHeight="1" x14ac:dyDescent="0.3">
      <c r="A159" s="4" t="s">
        <v>44</v>
      </c>
      <c r="B159" s="4" t="s">
        <v>24</v>
      </c>
      <c r="C159" s="5">
        <v>45357</v>
      </c>
      <c r="D159" s="4" t="s">
        <v>15</v>
      </c>
      <c r="E159" s="6" t="s">
        <v>16</v>
      </c>
      <c r="F159" s="7">
        <v>1971</v>
      </c>
      <c r="G159" s="7">
        <v>370</v>
      </c>
      <c r="H159" s="7">
        <v>306</v>
      </c>
      <c r="I159" s="7">
        <v>31316</v>
      </c>
      <c r="J159" s="7">
        <v>27897</v>
      </c>
      <c r="K159" s="7">
        <v>88</v>
      </c>
      <c r="L159" s="4" t="s">
        <v>45</v>
      </c>
      <c r="M159" s="4" t="s">
        <v>22</v>
      </c>
      <c r="N159" s="16">
        <f t="shared" si="4"/>
        <v>8.4525482181632389E-2</v>
      </c>
      <c r="O159" s="8">
        <f t="shared" si="5"/>
        <v>158</v>
      </c>
    </row>
    <row r="160" spans="1:15" ht="15.75" customHeight="1" x14ac:dyDescent="0.3">
      <c r="A160" s="4" t="s">
        <v>216</v>
      </c>
      <c r="B160" s="4" t="s">
        <v>14</v>
      </c>
      <c r="C160" s="5">
        <v>45475</v>
      </c>
      <c r="D160" s="4" t="s">
        <v>15</v>
      </c>
      <c r="E160" s="6" t="s">
        <v>41</v>
      </c>
      <c r="F160" s="7">
        <v>3469</v>
      </c>
      <c r="G160" s="7">
        <v>371</v>
      </c>
      <c r="H160" s="7">
        <v>76</v>
      </c>
      <c r="I160" s="7">
        <v>46493</v>
      </c>
      <c r="J160" s="7">
        <v>26906</v>
      </c>
      <c r="K160" s="7">
        <v>150</v>
      </c>
      <c r="L160" s="4" t="s">
        <v>17</v>
      </c>
      <c r="M160" s="4" t="s">
        <v>18</v>
      </c>
      <c r="N160" s="16">
        <f t="shared" si="4"/>
        <v>8.4227733207149463E-2</v>
      </c>
      <c r="O160" s="8">
        <f t="shared" si="5"/>
        <v>159</v>
      </c>
    </row>
    <row r="161" spans="1:15" ht="15.75" customHeight="1" x14ac:dyDescent="0.3">
      <c r="A161" s="4" t="s">
        <v>324</v>
      </c>
      <c r="B161" s="4" t="s">
        <v>14</v>
      </c>
      <c r="C161" s="5">
        <v>45589</v>
      </c>
      <c r="D161" s="4" t="s">
        <v>25</v>
      </c>
      <c r="E161" s="6" t="s">
        <v>41</v>
      </c>
      <c r="F161" s="7">
        <v>1914</v>
      </c>
      <c r="G161" s="7">
        <v>255</v>
      </c>
      <c r="H161" s="7">
        <v>156</v>
      </c>
      <c r="I161" s="7">
        <v>27660</v>
      </c>
      <c r="J161" s="7">
        <v>47776</v>
      </c>
      <c r="K161" s="7">
        <v>111</v>
      </c>
      <c r="L161" s="4" t="s">
        <v>42</v>
      </c>
      <c r="M161" s="4" t="s">
        <v>55</v>
      </c>
      <c r="N161" s="16">
        <f t="shared" si="4"/>
        <v>8.4056399132321047E-2</v>
      </c>
      <c r="O161" s="8">
        <f t="shared" si="5"/>
        <v>160</v>
      </c>
    </row>
    <row r="162" spans="1:15" ht="15.75" customHeight="1" x14ac:dyDescent="0.3">
      <c r="A162" s="4" t="s">
        <v>317</v>
      </c>
      <c r="B162" s="4" t="s">
        <v>14</v>
      </c>
      <c r="C162" s="5">
        <v>45691</v>
      </c>
      <c r="D162" s="4" t="s">
        <v>25</v>
      </c>
      <c r="E162" s="6" t="s">
        <v>26</v>
      </c>
      <c r="F162" s="7">
        <v>1205</v>
      </c>
      <c r="G162" s="7">
        <v>486</v>
      </c>
      <c r="H162" s="7">
        <v>269</v>
      </c>
      <c r="I162" s="7">
        <v>23341</v>
      </c>
      <c r="J162" s="7">
        <v>42411</v>
      </c>
      <c r="K162" s="7">
        <v>184</v>
      </c>
      <c r="L162" s="4" t="s">
        <v>42</v>
      </c>
      <c r="M162" s="4" t="s">
        <v>55</v>
      </c>
      <c r="N162" s="16">
        <f t="shared" si="4"/>
        <v>8.3972409065592737E-2</v>
      </c>
      <c r="O162" s="8">
        <f t="shared" si="5"/>
        <v>161</v>
      </c>
    </row>
    <row r="163" spans="1:15" ht="15.75" customHeight="1" x14ac:dyDescent="0.3">
      <c r="A163" s="4" t="s">
        <v>40</v>
      </c>
      <c r="B163" s="4" t="s">
        <v>24</v>
      </c>
      <c r="C163" s="5">
        <v>45823</v>
      </c>
      <c r="D163" s="4" t="s">
        <v>15</v>
      </c>
      <c r="E163" s="6" t="s">
        <v>41</v>
      </c>
      <c r="F163" s="7">
        <v>4432</v>
      </c>
      <c r="G163" s="7">
        <v>223</v>
      </c>
      <c r="H163" s="7">
        <v>299</v>
      </c>
      <c r="I163" s="7">
        <v>59016</v>
      </c>
      <c r="J163" s="7">
        <v>21742</v>
      </c>
      <c r="K163" s="7">
        <v>171</v>
      </c>
      <c r="L163" s="4" t="s">
        <v>42</v>
      </c>
      <c r="M163" s="4" t="s">
        <v>18</v>
      </c>
      <c r="N163" s="16">
        <f t="shared" si="4"/>
        <v>8.3943337400027115E-2</v>
      </c>
      <c r="O163" s="8">
        <f t="shared" si="5"/>
        <v>162</v>
      </c>
    </row>
    <row r="164" spans="1:15" ht="15.75" customHeight="1" x14ac:dyDescent="0.3">
      <c r="A164" s="4" t="s">
        <v>300</v>
      </c>
      <c r="B164" s="4" t="s">
        <v>24</v>
      </c>
      <c r="C164" s="5">
        <v>45662</v>
      </c>
      <c r="D164" s="4" t="s">
        <v>25</v>
      </c>
      <c r="E164" s="6" t="s">
        <v>20</v>
      </c>
      <c r="F164" s="7">
        <v>3341</v>
      </c>
      <c r="G164" s="7">
        <v>154</v>
      </c>
      <c r="H164" s="7">
        <v>123</v>
      </c>
      <c r="I164" s="7">
        <v>43369</v>
      </c>
      <c r="J164" s="7">
        <v>49035</v>
      </c>
      <c r="K164" s="7">
        <v>128</v>
      </c>
      <c r="L164" s="4" t="s">
        <v>27</v>
      </c>
      <c r="M164" s="4" t="s">
        <v>18</v>
      </c>
      <c r="N164" s="16">
        <f t="shared" si="4"/>
        <v>8.3423643616408028E-2</v>
      </c>
      <c r="O164" s="8">
        <f t="shared" si="5"/>
        <v>163</v>
      </c>
    </row>
    <row r="165" spans="1:15" ht="15.75" customHeight="1" x14ac:dyDescent="0.3">
      <c r="A165" s="4" t="s">
        <v>199</v>
      </c>
      <c r="B165" s="4" t="s">
        <v>14</v>
      </c>
      <c r="C165" s="5">
        <v>45394</v>
      </c>
      <c r="D165" s="4" t="s">
        <v>25</v>
      </c>
      <c r="E165" s="6" t="s">
        <v>37</v>
      </c>
      <c r="F165" s="7">
        <v>1558</v>
      </c>
      <c r="G165" s="7">
        <v>352</v>
      </c>
      <c r="H165" s="7">
        <v>202</v>
      </c>
      <c r="I165" s="7">
        <v>25405</v>
      </c>
      <c r="J165" s="7">
        <v>69941</v>
      </c>
      <c r="K165" s="7">
        <v>219</v>
      </c>
      <c r="L165" s="4" t="s">
        <v>42</v>
      </c>
      <c r="M165" s="4" t="s">
        <v>55</v>
      </c>
      <c r="N165" s="16">
        <f t="shared" si="4"/>
        <v>8.3133241487896081E-2</v>
      </c>
      <c r="O165" s="8">
        <f t="shared" si="5"/>
        <v>164</v>
      </c>
    </row>
    <row r="166" spans="1:15" ht="15.75" customHeight="1" x14ac:dyDescent="0.3">
      <c r="A166" s="4" t="s">
        <v>141</v>
      </c>
      <c r="B166" s="4" t="s">
        <v>24</v>
      </c>
      <c r="C166" s="5">
        <v>45577</v>
      </c>
      <c r="D166" s="4" t="s">
        <v>15</v>
      </c>
      <c r="E166" s="6" t="s">
        <v>37</v>
      </c>
      <c r="F166" s="7">
        <v>3169</v>
      </c>
      <c r="G166" s="7">
        <v>386</v>
      </c>
      <c r="H166" s="7">
        <v>175</v>
      </c>
      <c r="I166" s="7">
        <v>45012</v>
      </c>
      <c r="J166" s="7">
        <v>38508</v>
      </c>
      <c r="K166" s="7">
        <v>218</v>
      </c>
      <c r="L166" s="4" t="s">
        <v>42</v>
      </c>
      <c r="M166" s="4" t="s">
        <v>18</v>
      </c>
      <c r="N166" s="16">
        <f t="shared" si="4"/>
        <v>8.2866791077934779E-2</v>
      </c>
      <c r="O166" s="8">
        <f t="shared" si="5"/>
        <v>165</v>
      </c>
    </row>
    <row r="167" spans="1:15" ht="15.75" customHeight="1" x14ac:dyDescent="0.3">
      <c r="A167" s="4" t="s">
        <v>255</v>
      </c>
      <c r="B167" s="4" t="s">
        <v>31</v>
      </c>
      <c r="C167" s="5">
        <v>45672</v>
      </c>
      <c r="D167" s="4" t="s">
        <v>15</v>
      </c>
      <c r="E167" s="6" t="s">
        <v>51</v>
      </c>
      <c r="F167" s="7">
        <v>2599</v>
      </c>
      <c r="G167" s="7">
        <v>324</v>
      </c>
      <c r="H167" s="7">
        <v>182</v>
      </c>
      <c r="I167" s="7">
        <v>37525</v>
      </c>
      <c r="J167" s="7">
        <v>37216</v>
      </c>
      <c r="K167" s="7">
        <v>186</v>
      </c>
      <c r="L167" s="4" t="s">
        <v>33</v>
      </c>
      <c r="M167" s="4" t="s">
        <v>22</v>
      </c>
      <c r="N167" s="16">
        <f t="shared" si="4"/>
        <v>8.2744836775483013E-2</v>
      </c>
      <c r="O167" s="8">
        <f t="shared" si="5"/>
        <v>166</v>
      </c>
    </row>
    <row r="168" spans="1:15" ht="15.75" customHeight="1" x14ac:dyDescent="0.3">
      <c r="A168" s="4" t="s">
        <v>243</v>
      </c>
      <c r="B168" s="4" t="s">
        <v>14</v>
      </c>
      <c r="C168" s="5">
        <v>45571</v>
      </c>
      <c r="D168" s="4" t="s">
        <v>15</v>
      </c>
      <c r="E168" s="6" t="s">
        <v>41</v>
      </c>
      <c r="F168" s="7">
        <v>2080</v>
      </c>
      <c r="G168" s="7">
        <v>389</v>
      </c>
      <c r="H168" s="7">
        <v>92</v>
      </c>
      <c r="I168" s="7">
        <v>30971</v>
      </c>
      <c r="J168" s="7">
        <v>25347</v>
      </c>
      <c r="K168" s="7">
        <v>111</v>
      </c>
      <c r="L168" s="4" t="s">
        <v>21</v>
      </c>
      <c r="M168" s="4" t="s">
        <v>22</v>
      </c>
      <c r="N168" s="16">
        <f t="shared" si="4"/>
        <v>8.2690258629040073E-2</v>
      </c>
      <c r="O168" s="8">
        <f t="shared" si="5"/>
        <v>167</v>
      </c>
    </row>
    <row r="169" spans="1:15" ht="15.75" customHeight="1" x14ac:dyDescent="0.3">
      <c r="A169" s="4" t="s">
        <v>193</v>
      </c>
      <c r="B169" s="4" t="s">
        <v>24</v>
      </c>
      <c r="C169" s="5">
        <v>45819</v>
      </c>
      <c r="D169" s="4" t="s">
        <v>25</v>
      </c>
      <c r="E169" s="6" t="s">
        <v>20</v>
      </c>
      <c r="F169" s="7">
        <v>3805</v>
      </c>
      <c r="G169" s="7">
        <v>453</v>
      </c>
      <c r="H169" s="7">
        <v>63</v>
      </c>
      <c r="I169" s="7">
        <v>52395</v>
      </c>
      <c r="J169" s="7">
        <v>72934</v>
      </c>
      <c r="K169" s="7">
        <v>87</v>
      </c>
      <c r="L169" s="4" t="s">
        <v>39</v>
      </c>
      <c r="M169" s="4" t="s">
        <v>18</v>
      </c>
      <c r="N169" s="16">
        <f t="shared" si="4"/>
        <v>8.2469701307376658E-2</v>
      </c>
      <c r="O169" s="8">
        <f t="shared" si="5"/>
        <v>168</v>
      </c>
    </row>
    <row r="170" spans="1:15" ht="15.75" customHeight="1" x14ac:dyDescent="0.3">
      <c r="A170" s="4" t="s">
        <v>68</v>
      </c>
      <c r="B170" s="4" t="s">
        <v>31</v>
      </c>
      <c r="C170" s="5">
        <v>45356</v>
      </c>
      <c r="D170" s="4" t="s">
        <v>57</v>
      </c>
      <c r="E170" s="6" t="s">
        <v>20</v>
      </c>
      <c r="F170" s="7">
        <v>3558</v>
      </c>
      <c r="G170" s="7">
        <v>314</v>
      </c>
      <c r="H170" s="7">
        <v>199</v>
      </c>
      <c r="I170" s="7">
        <v>49612</v>
      </c>
      <c r="J170" s="7">
        <v>53929</v>
      </c>
      <c r="K170" s="7">
        <v>206</v>
      </c>
      <c r="L170" s="4" t="s">
        <v>58</v>
      </c>
      <c r="M170" s="4" t="s">
        <v>59</v>
      </c>
      <c r="N170" s="16">
        <f t="shared" si="4"/>
        <v>8.205676046117874E-2</v>
      </c>
      <c r="O170" s="8">
        <f t="shared" si="5"/>
        <v>169</v>
      </c>
    </row>
    <row r="171" spans="1:15" ht="15.75" customHeight="1" x14ac:dyDescent="0.3">
      <c r="A171" s="4" t="s">
        <v>276</v>
      </c>
      <c r="B171" s="4" t="s">
        <v>14</v>
      </c>
      <c r="C171" s="5">
        <v>45646</v>
      </c>
      <c r="D171" s="4" t="s">
        <v>15</v>
      </c>
      <c r="E171" s="6" t="s">
        <v>16</v>
      </c>
      <c r="F171" s="7">
        <v>2519</v>
      </c>
      <c r="G171" s="7">
        <v>202</v>
      </c>
      <c r="H171" s="7">
        <v>239</v>
      </c>
      <c r="I171" s="7">
        <v>36245</v>
      </c>
      <c r="J171" s="7">
        <v>48606</v>
      </c>
      <c r="K171" s="7">
        <v>145</v>
      </c>
      <c r="L171" s="4" t="s">
        <v>21</v>
      </c>
      <c r="M171" s="4" t="s">
        <v>22</v>
      </c>
      <c r="N171" s="16">
        <f t="shared" si="4"/>
        <v>8.1666436749896543E-2</v>
      </c>
      <c r="O171" s="8">
        <f t="shared" si="5"/>
        <v>170</v>
      </c>
    </row>
    <row r="172" spans="1:15" ht="15.75" customHeight="1" x14ac:dyDescent="0.3">
      <c r="A172" s="4" t="s">
        <v>112</v>
      </c>
      <c r="B172" s="4" t="s">
        <v>14</v>
      </c>
      <c r="C172" s="5">
        <v>45576</v>
      </c>
      <c r="D172" s="4" t="s">
        <v>15</v>
      </c>
      <c r="E172" s="6" t="s">
        <v>49</v>
      </c>
      <c r="F172" s="7">
        <v>1360</v>
      </c>
      <c r="G172" s="7">
        <v>249</v>
      </c>
      <c r="H172" s="7">
        <v>52</v>
      </c>
      <c r="I172" s="7">
        <v>20368</v>
      </c>
      <c r="J172" s="7">
        <v>42152</v>
      </c>
      <c r="K172" s="7">
        <v>193</v>
      </c>
      <c r="L172" s="4" t="s">
        <v>21</v>
      </c>
      <c r="M172" s="4" t="s">
        <v>22</v>
      </c>
      <c r="N172" s="16">
        <f t="shared" si="4"/>
        <v>8.1549489395129612E-2</v>
      </c>
      <c r="O172" s="8">
        <f t="shared" si="5"/>
        <v>171</v>
      </c>
    </row>
    <row r="173" spans="1:15" ht="15.75" customHeight="1" x14ac:dyDescent="0.3">
      <c r="A173" s="4" t="s">
        <v>186</v>
      </c>
      <c r="B173" s="4" t="s">
        <v>14</v>
      </c>
      <c r="C173" s="5">
        <v>45799</v>
      </c>
      <c r="D173" s="4" t="s">
        <v>15</v>
      </c>
      <c r="E173" s="6" t="s">
        <v>16</v>
      </c>
      <c r="F173" s="7">
        <v>2633</v>
      </c>
      <c r="G173" s="7">
        <v>318</v>
      </c>
      <c r="H173" s="7">
        <v>380</v>
      </c>
      <c r="I173" s="7">
        <v>40869</v>
      </c>
      <c r="J173" s="7">
        <v>64474</v>
      </c>
      <c r="K173" s="7">
        <v>245</v>
      </c>
      <c r="L173" s="4" t="s">
        <v>21</v>
      </c>
      <c r="M173" s="4" t="s">
        <v>22</v>
      </c>
      <c r="N173" s="16">
        <f t="shared" si="4"/>
        <v>8.1504318676747664E-2</v>
      </c>
      <c r="O173" s="8">
        <f t="shared" si="5"/>
        <v>172</v>
      </c>
    </row>
    <row r="174" spans="1:15" ht="15.75" customHeight="1" x14ac:dyDescent="0.3">
      <c r="A174" s="4" t="s">
        <v>189</v>
      </c>
      <c r="B174" s="4" t="s">
        <v>24</v>
      </c>
      <c r="C174" s="5">
        <v>45760</v>
      </c>
      <c r="D174" s="4" t="s">
        <v>15</v>
      </c>
      <c r="E174" s="6" t="s">
        <v>49</v>
      </c>
      <c r="F174" s="7">
        <v>3890</v>
      </c>
      <c r="G174" s="7">
        <v>408</v>
      </c>
      <c r="H174" s="7">
        <v>338</v>
      </c>
      <c r="I174" s="7">
        <v>56994</v>
      </c>
      <c r="J174" s="7">
        <v>32621</v>
      </c>
      <c r="K174" s="7">
        <v>286</v>
      </c>
      <c r="L174" s="4" t="s">
        <v>45</v>
      </c>
      <c r="M174" s="4" t="s">
        <v>22</v>
      </c>
      <c r="N174" s="16">
        <f t="shared" si="4"/>
        <v>8.1341895638137346E-2</v>
      </c>
      <c r="O174" s="8">
        <f t="shared" si="5"/>
        <v>173</v>
      </c>
    </row>
    <row r="175" spans="1:15" ht="15.75" customHeight="1" x14ac:dyDescent="0.3">
      <c r="A175" s="4" t="s">
        <v>65</v>
      </c>
      <c r="B175" s="4" t="s">
        <v>31</v>
      </c>
      <c r="C175" s="5">
        <v>45575</v>
      </c>
      <c r="D175" s="4" t="s">
        <v>57</v>
      </c>
      <c r="E175" s="6" t="s">
        <v>49</v>
      </c>
      <c r="F175" s="7">
        <v>4013</v>
      </c>
      <c r="G175" s="7">
        <v>320</v>
      </c>
      <c r="H175" s="7">
        <v>92</v>
      </c>
      <c r="I175" s="7">
        <v>54605</v>
      </c>
      <c r="J175" s="7">
        <v>60169</v>
      </c>
      <c r="K175" s="7">
        <v>232</v>
      </c>
      <c r="L175" s="4" t="s">
        <v>58</v>
      </c>
      <c r="M175" s="4" t="s">
        <v>59</v>
      </c>
      <c r="N175" s="16">
        <f t="shared" si="4"/>
        <v>8.1036535115831879E-2</v>
      </c>
      <c r="O175" s="8">
        <f t="shared" si="5"/>
        <v>174</v>
      </c>
    </row>
    <row r="176" spans="1:15" ht="15.75" customHeight="1" x14ac:dyDescent="0.3">
      <c r="A176" s="4" t="s">
        <v>273</v>
      </c>
      <c r="B176" s="4" t="s">
        <v>24</v>
      </c>
      <c r="C176" s="5">
        <v>45585</v>
      </c>
      <c r="D176" s="4" t="s">
        <v>15</v>
      </c>
      <c r="E176" s="6" t="s">
        <v>49</v>
      </c>
      <c r="F176" s="7">
        <v>2752</v>
      </c>
      <c r="G176" s="7">
        <v>309</v>
      </c>
      <c r="H176" s="7">
        <v>91</v>
      </c>
      <c r="I176" s="7">
        <v>39038</v>
      </c>
      <c r="J176" s="7">
        <v>28095</v>
      </c>
      <c r="K176" s="7">
        <v>277</v>
      </c>
      <c r="L176" s="4" t="s">
        <v>42</v>
      </c>
      <c r="M176" s="4" t="s">
        <v>18</v>
      </c>
      <c r="N176" s="16">
        <f t="shared" si="4"/>
        <v>8.0741841282852611E-2</v>
      </c>
      <c r="O176" s="8">
        <f t="shared" si="5"/>
        <v>175</v>
      </c>
    </row>
    <row r="177" spans="1:15" ht="15.75" customHeight="1" x14ac:dyDescent="0.3">
      <c r="A177" s="4" t="s">
        <v>71</v>
      </c>
      <c r="B177" s="4" t="s">
        <v>14</v>
      </c>
      <c r="C177" s="5">
        <v>45658</v>
      </c>
      <c r="D177" s="4" t="s">
        <v>15</v>
      </c>
      <c r="E177" s="6" t="s">
        <v>26</v>
      </c>
      <c r="F177" s="7">
        <v>4036</v>
      </c>
      <c r="G177" s="7">
        <v>112</v>
      </c>
      <c r="H177" s="7">
        <v>382</v>
      </c>
      <c r="I177" s="7">
        <v>56284</v>
      </c>
      <c r="J177" s="7">
        <v>29440</v>
      </c>
      <c r="K177" s="7">
        <v>279</v>
      </c>
      <c r="L177" s="4" t="s">
        <v>17</v>
      </c>
      <c r="M177" s="4" t="s">
        <v>18</v>
      </c>
      <c r="N177" s="16">
        <f t="shared" si="4"/>
        <v>8.0484684812735408E-2</v>
      </c>
      <c r="O177" s="8">
        <f t="shared" si="5"/>
        <v>176</v>
      </c>
    </row>
    <row r="178" spans="1:15" ht="15.75" customHeight="1" x14ac:dyDescent="0.3">
      <c r="A178" s="4" t="s">
        <v>260</v>
      </c>
      <c r="B178" s="4" t="s">
        <v>31</v>
      </c>
      <c r="C178" s="5">
        <v>45636</v>
      </c>
      <c r="D178" s="4" t="s">
        <v>15</v>
      </c>
      <c r="E178" s="6" t="s">
        <v>35</v>
      </c>
      <c r="F178" s="7">
        <v>2569</v>
      </c>
      <c r="G178" s="7">
        <v>140</v>
      </c>
      <c r="H178" s="7">
        <v>375</v>
      </c>
      <c r="I178" s="7">
        <v>38372</v>
      </c>
      <c r="J178" s="7">
        <v>22102</v>
      </c>
      <c r="K178" s="7">
        <v>255</v>
      </c>
      <c r="L178" s="4" t="s">
        <v>33</v>
      </c>
      <c r="M178" s="4" t="s">
        <v>22</v>
      </c>
      <c r="N178" s="16">
        <f t="shared" si="4"/>
        <v>8.0371103929948923E-2</v>
      </c>
      <c r="O178" s="8">
        <f t="shared" si="5"/>
        <v>177</v>
      </c>
    </row>
    <row r="179" spans="1:15" ht="15.75" customHeight="1" x14ac:dyDescent="0.3">
      <c r="A179" s="4" t="s">
        <v>63</v>
      </c>
      <c r="B179" s="4" t="s">
        <v>31</v>
      </c>
      <c r="C179" s="5">
        <v>45452</v>
      </c>
      <c r="D179" s="4" t="s">
        <v>57</v>
      </c>
      <c r="E179" s="6" t="s">
        <v>49</v>
      </c>
      <c r="F179" s="7">
        <v>2786</v>
      </c>
      <c r="G179" s="7">
        <v>368</v>
      </c>
      <c r="H179" s="7">
        <v>208</v>
      </c>
      <c r="I179" s="7">
        <v>42000</v>
      </c>
      <c r="J179" s="7">
        <v>39967</v>
      </c>
      <c r="K179" s="7">
        <v>103</v>
      </c>
      <c r="L179" s="4" t="s">
        <v>58</v>
      </c>
      <c r="M179" s="4" t="s">
        <v>59</v>
      </c>
      <c r="N179" s="16">
        <f t="shared" si="4"/>
        <v>8.0047619047619048E-2</v>
      </c>
      <c r="O179" s="8">
        <f t="shared" si="5"/>
        <v>178</v>
      </c>
    </row>
    <row r="180" spans="1:15" ht="15.75" customHeight="1" x14ac:dyDescent="0.3">
      <c r="A180" s="4" t="s">
        <v>169</v>
      </c>
      <c r="B180" s="4" t="s">
        <v>24</v>
      </c>
      <c r="C180" s="5">
        <v>45839</v>
      </c>
      <c r="D180" s="4" t="s">
        <v>25</v>
      </c>
      <c r="E180" s="6" t="s">
        <v>20</v>
      </c>
      <c r="F180" s="7">
        <v>3219</v>
      </c>
      <c r="G180" s="7">
        <v>424</v>
      </c>
      <c r="H180" s="7">
        <v>267</v>
      </c>
      <c r="I180" s="7">
        <v>48879</v>
      </c>
      <c r="J180" s="7">
        <v>37691</v>
      </c>
      <c r="K180" s="7">
        <v>224</v>
      </c>
      <c r="L180" s="4" t="s">
        <v>39</v>
      </c>
      <c r="M180" s="4" t="s">
        <v>18</v>
      </c>
      <c r="N180" s="16">
        <f t="shared" si="4"/>
        <v>7.9993453221219743E-2</v>
      </c>
      <c r="O180" s="8">
        <f t="shared" si="5"/>
        <v>179</v>
      </c>
    </row>
    <row r="181" spans="1:15" ht="15.75" customHeight="1" x14ac:dyDescent="0.3">
      <c r="A181" s="4" t="s">
        <v>246</v>
      </c>
      <c r="B181" s="4" t="s">
        <v>24</v>
      </c>
      <c r="C181" s="5">
        <v>45525</v>
      </c>
      <c r="D181" s="4" t="s">
        <v>25</v>
      </c>
      <c r="E181" s="6" t="s">
        <v>20</v>
      </c>
      <c r="F181" s="7">
        <v>3989</v>
      </c>
      <c r="G181" s="7">
        <v>476</v>
      </c>
      <c r="H181" s="7">
        <v>128</v>
      </c>
      <c r="I181" s="7">
        <v>57569</v>
      </c>
      <c r="J181" s="7">
        <v>40193</v>
      </c>
      <c r="K181" s="7">
        <v>222</v>
      </c>
      <c r="L181" s="4" t="s">
        <v>39</v>
      </c>
      <c r="M181" s="4" t="s">
        <v>18</v>
      </c>
      <c r="N181" s="16">
        <f t="shared" si="4"/>
        <v>7.9782521843353188E-2</v>
      </c>
      <c r="O181" s="8">
        <f t="shared" si="5"/>
        <v>180</v>
      </c>
    </row>
    <row r="182" spans="1:15" ht="15.75" customHeight="1" x14ac:dyDescent="0.3">
      <c r="A182" s="4" t="s">
        <v>132</v>
      </c>
      <c r="B182" s="4" t="s">
        <v>31</v>
      </c>
      <c r="C182" s="5">
        <v>45376</v>
      </c>
      <c r="D182" s="4" t="s">
        <v>57</v>
      </c>
      <c r="E182" s="6" t="s">
        <v>20</v>
      </c>
      <c r="F182" s="7">
        <v>1948</v>
      </c>
      <c r="G182" s="7">
        <v>155</v>
      </c>
      <c r="H182" s="7">
        <v>315</v>
      </c>
      <c r="I182" s="7">
        <v>30321</v>
      </c>
      <c r="J182" s="7">
        <v>57121</v>
      </c>
      <c r="K182" s="7">
        <v>82</v>
      </c>
      <c r="L182" s="4" t="s">
        <v>58</v>
      </c>
      <c r="M182" s="4" t="s">
        <v>59</v>
      </c>
      <c r="N182" s="16">
        <f t="shared" si="4"/>
        <v>7.974671020085089E-2</v>
      </c>
      <c r="O182" s="8">
        <f t="shared" si="5"/>
        <v>181</v>
      </c>
    </row>
    <row r="183" spans="1:15" ht="15.75" customHeight="1" x14ac:dyDescent="0.3">
      <c r="A183" s="4" t="s">
        <v>131</v>
      </c>
      <c r="B183" s="4" t="s">
        <v>24</v>
      </c>
      <c r="C183" s="5">
        <v>45774</v>
      </c>
      <c r="D183" s="4" t="s">
        <v>15</v>
      </c>
      <c r="E183" s="6" t="s">
        <v>20</v>
      </c>
      <c r="F183" s="7">
        <v>1165</v>
      </c>
      <c r="G183" s="7">
        <v>294</v>
      </c>
      <c r="H183" s="7">
        <v>163</v>
      </c>
      <c r="I183" s="7">
        <v>20659</v>
      </c>
      <c r="J183" s="7">
        <v>45926</v>
      </c>
      <c r="K183" s="7">
        <v>111</v>
      </c>
      <c r="L183" s="4" t="s">
        <v>45</v>
      </c>
      <c r="M183" s="4" t="s">
        <v>22</v>
      </c>
      <c r="N183" s="16">
        <f t="shared" si="4"/>
        <v>7.8512996756861422E-2</v>
      </c>
      <c r="O183" s="8">
        <f t="shared" si="5"/>
        <v>182</v>
      </c>
    </row>
    <row r="184" spans="1:15" ht="15.75" customHeight="1" x14ac:dyDescent="0.3">
      <c r="A184" s="4" t="s">
        <v>220</v>
      </c>
      <c r="B184" s="4" t="s">
        <v>24</v>
      </c>
      <c r="C184" s="5">
        <v>45777</v>
      </c>
      <c r="D184" s="4" t="s">
        <v>25</v>
      </c>
      <c r="E184" s="6" t="s">
        <v>29</v>
      </c>
      <c r="F184" s="7">
        <v>3929</v>
      </c>
      <c r="G184" s="7">
        <v>275</v>
      </c>
      <c r="H184" s="7">
        <v>330</v>
      </c>
      <c r="I184" s="7">
        <v>58329</v>
      </c>
      <c r="J184" s="7">
        <v>33196</v>
      </c>
      <c r="K184" s="7">
        <v>85</v>
      </c>
      <c r="L184" s="4" t="s">
        <v>27</v>
      </c>
      <c r="M184" s="4" t="s">
        <v>18</v>
      </c>
      <c r="N184" s="16">
        <f t="shared" si="4"/>
        <v>7.7731488624869283E-2</v>
      </c>
      <c r="O184" s="8">
        <f t="shared" si="5"/>
        <v>183</v>
      </c>
    </row>
    <row r="185" spans="1:15" ht="15.75" customHeight="1" x14ac:dyDescent="0.3">
      <c r="A185" s="4" t="s">
        <v>245</v>
      </c>
      <c r="B185" s="4" t="s">
        <v>24</v>
      </c>
      <c r="C185" s="5">
        <v>45763</v>
      </c>
      <c r="D185" s="4" t="s">
        <v>15</v>
      </c>
      <c r="E185" s="6" t="s">
        <v>29</v>
      </c>
      <c r="F185" s="7">
        <v>3792</v>
      </c>
      <c r="G185" s="7">
        <v>315</v>
      </c>
      <c r="H185" s="7">
        <v>120</v>
      </c>
      <c r="I185" s="7">
        <v>54592</v>
      </c>
      <c r="J185" s="7">
        <v>67886</v>
      </c>
      <c r="K185" s="7">
        <v>117</v>
      </c>
      <c r="L185" s="4" t="s">
        <v>45</v>
      </c>
      <c r="M185" s="4" t="s">
        <v>22</v>
      </c>
      <c r="N185" s="16">
        <f t="shared" si="4"/>
        <v>7.7428927315357568E-2</v>
      </c>
      <c r="O185" s="8">
        <f t="shared" si="5"/>
        <v>184</v>
      </c>
    </row>
    <row r="186" spans="1:15" ht="15.75" customHeight="1" x14ac:dyDescent="0.3">
      <c r="A186" s="4" t="s">
        <v>249</v>
      </c>
      <c r="B186" s="4" t="s">
        <v>24</v>
      </c>
      <c r="C186" s="5">
        <v>45492</v>
      </c>
      <c r="D186" s="4" t="s">
        <v>25</v>
      </c>
      <c r="E186" s="6" t="s">
        <v>35</v>
      </c>
      <c r="F186" s="7">
        <v>3071</v>
      </c>
      <c r="G186" s="7">
        <v>126</v>
      </c>
      <c r="H186" s="7">
        <v>200</v>
      </c>
      <c r="I186" s="7">
        <v>44013</v>
      </c>
      <c r="J186" s="7">
        <v>44679</v>
      </c>
      <c r="K186" s="7">
        <v>118</v>
      </c>
      <c r="L186" s="4" t="s">
        <v>39</v>
      </c>
      <c r="M186" s="4" t="s">
        <v>18</v>
      </c>
      <c r="N186" s="16">
        <f t="shared" si="4"/>
        <v>7.7181741758116915E-2</v>
      </c>
      <c r="O186" s="8">
        <f t="shared" si="5"/>
        <v>185</v>
      </c>
    </row>
    <row r="187" spans="1:15" ht="15.75" customHeight="1" x14ac:dyDescent="0.3">
      <c r="A187" s="4" t="s">
        <v>116</v>
      </c>
      <c r="B187" s="4" t="s">
        <v>14</v>
      </c>
      <c r="C187" s="5">
        <v>45487</v>
      </c>
      <c r="D187" s="4" t="s">
        <v>15</v>
      </c>
      <c r="E187" s="6" t="s">
        <v>29</v>
      </c>
      <c r="F187" s="7">
        <v>2464</v>
      </c>
      <c r="G187" s="7">
        <v>401</v>
      </c>
      <c r="H187" s="7">
        <v>78</v>
      </c>
      <c r="I187" s="7">
        <v>38665</v>
      </c>
      <c r="J187" s="7">
        <v>73593</v>
      </c>
      <c r="K187" s="7">
        <v>207</v>
      </c>
      <c r="L187" s="4" t="s">
        <v>21</v>
      </c>
      <c r="M187" s="4" t="s">
        <v>22</v>
      </c>
      <c r="N187" s="16">
        <f t="shared" si="4"/>
        <v>7.611534979956032E-2</v>
      </c>
      <c r="O187" s="8">
        <f t="shared" si="5"/>
        <v>186</v>
      </c>
    </row>
    <row r="188" spans="1:15" ht="15.75" customHeight="1" x14ac:dyDescent="0.3">
      <c r="A188" s="4" t="s">
        <v>72</v>
      </c>
      <c r="B188" s="4" t="s">
        <v>24</v>
      </c>
      <c r="C188" s="5">
        <v>45419</v>
      </c>
      <c r="D188" s="4" t="s">
        <v>25</v>
      </c>
      <c r="E188" s="6" t="s">
        <v>20</v>
      </c>
      <c r="F188" s="7">
        <v>2776</v>
      </c>
      <c r="G188" s="7">
        <v>307</v>
      </c>
      <c r="H188" s="7">
        <v>178</v>
      </c>
      <c r="I188" s="7">
        <v>43365</v>
      </c>
      <c r="J188" s="7">
        <v>48408</v>
      </c>
      <c r="K188" s="7">
        <v>138</v>
      </c>
      <c r="L188" s="4" t="s">
        <v>17</v>
      </c>
      <c r="M188" s="4" t="s">
        <v>18</v>
      </c>
      <c r="N188" s="16">
        <f t="shared" si="4"/>
        <v>7.519889311656866E-2</v>
      </c>
      <c r="O188" s="8">
        <f t="shared" si="5"/>
        <v>187</v>
      </c>
    </row>
    <row r="189" spans="1:15" ht="15.75" customHeight="1" x14ac:dyDescent="0.3">
      <c r="A189" s="4" t="s">
        <v>299</v>
      </c>
      <c r="B189" s="4" t="s">
        <v>24</v>
      </c>
      <c r="C189" s="5">
        <v>45676</v>
      </c>
      <c r="D189" s="4" t="s">
        <v>25</v>
      </c>
      <c r="E189" s="6" t="s">
        <v>32</v>
      </c>
      <c r="F189" s="7">
        <v>1651</v>
      </c>
      <c r="G189" s="7">
        <v>480</v>
      </c>
      <c r="H189" s="7">
        <v>282</v>
      </c>
      <c r="I189" s="7">
        <v>32140</v>
      </c>
      <c r="J189" s="7">
        <v>70560</v>
      </c>
      <c r="K189" s="7">
        <v>138</v>
      </c>
      <c r="L189" s="4" t="s">
        <v>17</v>
      </c>
      <c r="M189" s="4" t="s">
        <v>18</v>
      </c>
      <c r="N189" s="16">
        <f t="shared" si="4"/>
        <v>7.5077784691972627E-2</v>
      </c>
      <c r="O189" s="8">
        <f t="shared" si="5"/>
        <v>188</v>
      </c>
    </row>
    <row r="190" spans="1:15" ht="15.75" customHeight="1" x14ac:dyDescent="0.3">
      <c r="A190" s="4" t="s">
        <v>174</v>
      </c>
      <c r="B190" s="4" t="s">
        <v>24</v>
      </c>
      <c r="C190" s="5">
        <v>45792</v>
      </c>
      <c r="D190" s="4" t="s">
        <v>15</v>
      </c>
      <c r="E190" s="6" t="s">
        <v>26</v>
      </c>
      <c r="F190" s="7">
        <v>1583</v>
      </c>
      <c r="G190" s="7">
        <v>433</v>
      </c>
      <c r="H190" s="7">
        <v>249</v>
      </c>
      <c r="I190" s="7">
        <v>30256</v>
      </c>
      <c r="J190" s="7">
        <v>47066</v>
      </c>
      <c r="K190" s="7">
        <v>196</v>
      </c>
      <c r="L190" s="4" t="s">
        <v>42</v>
      </c>
      <c r="M190" s="4" t="s">
        <v>18</v>
      </c>
      <c r="N190" s="16">
        <f t="shared" si="4"/>
        <v>7.4861184558434685E-2</v>
      </c>
      <c r="O190" s="8">
        <f t="shared" si="5"/>
        <v>189</v>
      </c>
    </row>
    <row r="191" spans="1:15" ht="15.75" customHeight="1" x14ac:dyDescent="0.3">
      <c r="A191" s="4" t="s">
        <v>34</v>
      </c>
      <c r="B191" s="4" t="s">
        <v>31</v>
      </c>
      <c r="C191" s="5">
        <v>45456</v>
      </c>
      <c r="D191" s="4" t="s">
        <v>15</v>
      </c>
      <c r="E191" s="6" t="s">
        <v>35</v>
      </c>
      <c r="F191" s="7">
        <v>3882</v>
      </c>
      <c r="G191" s="7">
        <v>239</v>
      </c>
      <c r="H191" s="7">
        <v>275</v>
      </c>
      <c r="I191" s="7">
        <v>58748</v>
      </c>
      <c r="J191" s="7">
        <v>44646</v>
      </c>
      <c r="K191" s="7">
        <v>149</v>
      </c>
      <c r="L191" s="4" t="s">
        <v>33</v>
      </c>
      <c r="M191" s="4" t="s">
        <v>22</v>
      </c>
      <c r="N191" s="16">
        <f t="shared" si="4"/>
        <v>7.4828079253761837E-2</v>
      </c>
      <c r="O191" s="8">
        <f t="shared" si="5"/>
        <v>190</v>
      </c>
    </row>
    <row r="192" spans="1:15" ht="15.75" customHeight="1" x14ac:dyDescent="0.3">
      <c r="A192" s="4" t="s">
        <v>47</v>
      </c>
      <c r="B192" s="4" t="s">
        <v>24</v>
      </c>
      <c r="C192" s="5">
        <v>45826</v>
      </c>
      <c r="D192" s="4" t="s">
        <v>25</v>
      </c>
      <c r="E192" s="6" t="s">
        <v>16</v>
      </c>
      <c r="F192" s="7">
        <v>3956</v>
      </c>
      <c r="G192" s="7">
        <v>319</v>
      </c>
      <c r="H192" s="7">
        <v>61</v>
      </c>
      <c r="I192" s="7">
        <v>58162</v>
      </c>
      <c r="J192" s="7">
        <v>28720</v>
      </c>
      <c r="K192" s="7">
        <v>213</v>
      </c>
      <c r="L192" s="4" t="s">
        <v>27</v>
      </c>
      <c r="M192" s="4" t="s">
        <v>18</v>
      </c>
      <c r="N192" s="16">
        <f t="shared" si="4"/>
        <v>7.4550393727863554E-2</v>
      </c>
      <c r="O192" s="8">
        <f t="shared" si="5"/>
        <v>191</v>
      </c>
    </row>
    <row r="193" spans="1:15" ht="15.75" customHeight="1" x14ac:dyDescent="0.3">
      <c r="A193" s="4" t="s">
        <v>218</v>
      </c>
      <c r="B193" s="4" t="s">
        <v>14</v>
      </c>
      <c r="C193" s="5">
        <v>45640</v>
      </c>
      <c r="D193" s="4" t="s">
        <v>25</v>
      </c>
      <c r="E193" s="6" t="s">
        <v>49</v>
      </c>
      <c r="F193" s="7">
        <v>3812</v>
      </c>
      <c r="G193" s="7">
        <v>321</v>
      </c>
      <c r="H193" s="7">
        <v>289</v>
      </c>
      <c r="I193" s="7">
        <v>59838</v>
      </c>
      <c r="J193" s="7">
        <v>36337</v>
      </c>
      <c r="K193" s="7">
        <v>161</v>
      </c>
      <c r="L193" s="4" t="s">
        <v>42</v>
      </c>
      <c r="M193" s="4" t="s">
        <v>55</v>
      </c>
      <c r="N193" s="16">
        <f t="shared" si="4"/>
        <v>7.3899528727564417E-2</v>
      </c>
      <c r="O193" s="8">
        <f t="shared" si="5"/>
        <v>192</v>
      </c>
    </row>
    <row r="194" spans="1:15" ht="15.75" customHeight="1" x14ac:dyDescent="0.3">
      <c r="A194" s="4" t="s">
        <v>308</v>
      </c>
      <c r="B194" s="4" t="s">
        <v>31</v>
      </c>
      <c r="C194" s="5">
        <v>45368</v>
      </c>
      <c r="D194" s="4" t="s">
        <v>57</v>
      </c>
      <c r="E194" s="6" t="s">
        <v>20</v>
      </c>
      <c r="F194" s="7">
        <v>2692</v>
      </c>
      <c r="G194" s="7">
        <v>446</v>
      </c>
      <c r="H194" s="7">
        <v>216</v>
      </c>
      <c r="I194" s="7">
        <v>45818</v>
      </c>
      <c r="J194" s="7">
        <v>62723</v>
      </c>
      <c r="K194" s="7">
        <v>85</v>
      </c>
      <c r="L194" s="4" t="s">
        <v>58</v>
      </c>
      <c r="M194" s="4" t="s">
        <v>59</v>
      </c>
      <c r="N194" s="16">
        <f t="shared" ref="N194:N257" si="6">(F194+G194+H194)/I194</f>
        <v>7.3202671439172376E-2</v>
      </c>
      <c r="O194" s="8">
        <f t="shared" si="5"/>
        <v>193</v>
      </c>
    </row>
    <row r="195" spans="1:15" ht="15.75" customHeight="1" x14ac:dyDescent="0.3">
      <c r="A195" s="4" t="s">
        <v>120</v>
      </c>
      <c r="B195" s="4" t="s">
        <v>14</v>
      </c>
      <c r="C195" s="5">
        <v>45825</v>
      </c>
      <c r="D195" s="4" t="s">
        <v>15</v>
      </c>
      <c r="E195" s="6" t="s">
        <v>32</v>
      </c>
      <c r="F195" s="7">
        <v>2284</v>
      </c>
      <c r="G195" s="7">
        <v>187</v>
      </c>
      <c r="H195" s="7">
        <v>260</v>
      </c>
      <c r="I195" s="7">
        <v>37400</v>
      </c>
      <c r="J195" s="7">
        <v>65014</v>
      </c>
      <c r="K195" s="7">
        <v>157</v>
      </c>
      <c r="L195" s="4" t="s">
        <v>17</v>
      </c>
      <c r="M195" s="4" t="s">
        <v>18</v>
      </c>
      <c r="N195" s="16">
        <f t="shared" si="6"/>
        <v>7.3021390374331557E-2</v>
      </c>
      <c r="O195" s="8">
        <f t="shared" ref="O195:O258" si="7">RANK(N195,N:N,0)</f>
        <v>194</v>
      </c>
    </row>
    <row r="196" spans="1:15" ht="15.75" customHeight="1" x14ac:dyDescent="0.3">
      <c r="A196" s="4" t="s">
        <v>222</v>
      </c>
      <c r="B196" s="4" t="s">
        <v>14</v>
      </c>
      <c r="C196" s="5">
        <v>45370</v>
      </c>
      <c r="D196" s="4" t="s">
        <v>15</v>
      </c>
      <c r="E196" s="6" t="s">
        <v>49</v>
      </c>
      <c r="F196" s="7">
        <v>2878</v>
      </c>
      <c r="G196" s="7">
        <v>278</v>
      </c>
      <c r="H196" s="7">
        <v>255</v>
      </c>
      <c r="I196" s="7">
        <v>47235</v>
      </c>
      <c r="J196" s="7">
        <v>57922</v>
      </c>
      <c r="K196" s="7">
        <v>112</v>
      </c>
      <c r="L196" s="4" t="s">
        <v>17</v>
      </c>
      <c r="M196" s="4" t="s">
        <v>18</v>
      </c>
      <c r="N196" s="16">
        <f t="shared" si="6"/>
        <v>7.2213401079707848E-2</v>
      </c>
      <c r="O196" s="8">
        <f t="shared" si="7"/>
        <v>195</v>
      </c>
    </row>
    <row r="197" spans="1:15" ht="15.75" customHeight="1" x14ac:dyDescent="0.3">
      <c r="A197" s="4" t="s">
        <v>187</v>
      </c>
      <c r="B197" s="4" t="s">
        <v>24</v>
      </c>
      <c r="C197" s="5">
        <v>45312</v>
      </c>
      <c r="D197" s="4" t="s">
        <v>25</v>
      </c>
      <c r="E197" s="6" t="s">
        <v>16</v>
      </c>
      <c r="F197" s="7">
        <v>2383</v>
      </c>
      <c r="G197" s="7">
        <v>136</v>
      </c>
      <c r="H197" s="7">
        <v>302</v>
      </c>
      <c r="I197" s="7">
        <v>39187</v>
      </c>
      <c r="J197" s="7">
        <v>22133</v>
      </c>
      <c r="K197" s="7">
        <v>208</v>
      </c>
      <c r="L197" s="4" t="s">
        <v>27</v>
      </c>
      <c r="M197" s="4" t="s">
        <v>18</v>
      </c>
      <c r="N197" s="16">
        <f t="shared" si="6"/>
        <v>7.1988159338556151E-2</v>
      </c>
      <c r="O197" s="8">
        <f t="shared" si="7"/>
        <v>196</v>
      </c>
    </row>
    <row r="198" spans="1:15" ht="15.75" customHeight="1" x14ac:dyDescent="0.3">
      <c r="A198" s="4" t="s">
        <v>287</v>
      </c>
      <c r="B198" s="4" t="s">
        <v>24</v>
      </c>
      <c r="C198" s="5">
        <v>45551</v>
      </c>
      <c r="D198" s="4" t="s">
        <v>25</v>
      </c>
      <c r="E198" s="6" t="s">
        <v>51</v>
      </c>
      <c r="F198" s="7">
        <v>3300</v>
      </c>
      <c r="G198" s="7">
        <v>354</v>
      </c>
      <c r="H198" s="7">
        <v>397</v>
      </c>
      <c r="I198" s="7">
        <v>56773</v>
      </c>
      <c r="J198" s="7">
        <v>72110</v>
      </c>
      <c r="K198" s="7">
        <v>163</v>
      </c>
      <c r="L198" s="4" t="s">
        <v>39</v>
      </c>
      <c r="M198" s="4" t="s">
        <v>18</v>
      </c>
      <c r="N198" s="16">
        <f t="shared" si="6"/>
        <v>7.1354340971940891E-2</v>
      </c>
      <c r="O198" s="8">
        <f t="shared" si="7"/>
        <v>197</v>
      </c>
    </row>
    <row r="199" spans="1:15" ht="15.75" customHeight="1" x14ac:dyDescent="0.3">
      <c r="A199" s="4" t="s">
        <v>247</v>
      </c>
      <c r="B199" s="4" t="s">
        <v>24</v>
      </c>
      <c r="C199" s="5">
        <v>45387</v>
      </c>
      <c r="D199" s="4" t="s">
        <v>25</v>
      </c>
      <c r="E199" s="6" t="s">
        <v>29</v>
      </c>
      <c r="F199" s="7">
        <v>2857</v>
      </c>
      <c r="G199" s="7">
        <v>443</v>
      </c>
      <c r="H199" s="7">
        <v>359</v>
      </c>
      <c r="I199" s="7">
        <v>51519</v>
      </c>
      <c r="J199" s="7">
        <v>28256</v>
      </c>
      <c r="K199" s="7">
        <v>155</v>
      </c>
      <c r="L199" s="4" t="s">
        <v>17</v>
      </c>
      <c r="M199" s="4" t="s">
        <v>18</v>
      </c>
      <c r="N199" s="16">
        <f t="shared" si="6"/>
        <v>7.1022341272152026E-2</v>
      </c>
      <c r="O199" s="8">
        <f t="shared" si="7"/>
        <v>198</v>
      </c>
    </row>
    <row r="200" spans="1:15" ht="15.75" customHeight="1" x14ac:dyDescent="0.3">
      <c r="A200" s="4" t="s">
        <v>219</v>
      </c>
      <c r="B200" s="4" t="s">
        <v>24</v>
      </c>
      <c r="C200" s="5">
        <v>45615</v>
      </c>
      <c r="D200" s="4" t="s">
        <v>15</v>
      </c>
      <c r="E200" s="6" t="s">
        <v>20</v>
      </c>
      <c r="F200" s="7">
        <v>2387</v>
      </c>
      <c r="G200" s="7">
        <v>353</v>
      </c>
      <c r="H200" s="7">
        <v>78</v>
      </c>
      <c r="I200" s="7">
        <v>39745</v>
      </c>
      <c r="J200" s="7">
        <v>69226</v>
      </c>
      <c r="K200" s="7">
        <v>208</v>
      </c>
      <c r="L200" s="4" t="s">
        <v>45</v>
      </c>
      <c r="M200" s="4" t="s">
        <v>22</v>
      </c>
      <c r="N200" s="16">
        <f t="shared" si="6"/>
        <v>7.090200025160398E-2</v>
      </c>
      <c r="O200" s="8">
        <f t="shared" si="7"/>
        <v>199</v>
      </c>
    </row>
    <row r="201" spans="1:15" ht="15.75" customHeight="1" x14ac:dyDescent="0.3">
      <c r="A201" s="4" t="s">
        <v>166</v>
      </c>
      <c r="B201" s="4" t="s">
        <v>24</v>
      </c>
      <c r="C201" s="5">
        <v>45295</v>
      </c>
      <c r="D201" s="4" t="s">
        <v>25</v>
      </c>
      <c r="E201" s="6" t="s">
        <v>35</v>
      </c>
      <c r="F201" s="7">
        <v>3208</v>
      </c>
      <c r="G201" s="7">
        <v>476</v>
      </c>
      <c r="H201" s="7">
        <v>277</v>
      </c>
      <c r="I201" s="7">
        <v>56072</v>
      </c>
      <c r="J201" s="7">
        <v>21061</v>
      </c>
      <c r="K201" s="7">
        <v>113</v>
      </c>
      <c r="L201" s="4" t="s">
        <v>27</v>
      </c>
      <c r="M201" s="4" t="s">
        <v>18</v>
      </c>
      <c r="N201" s="16">
        <f t="shared" si="6"/>
        <v>7.064131830503638E-2</v>
      </c>
      <c r="O201" s="8">
        <f t="shared" si="7"/>
        <v>200</v>
      </c>
    </row>
    <row r="202" spans="1:15" ht="15.75" customHeight="1" x14ac:dyDescent="0.3">
      <c r="A202" s="4" t="s">
        <v>181</v>
      </c>
      <c r="B202" s="4" t="s">
        <v>31</v>
      </c>
      <c r="C202" s="5">
        <v>45566</v>
      </c>
      <c r="D202" s="4" t="s">
        <v>57</v>
      </c>
      <c r="E202" s="6" t="s">
        <v>20</v>
      </c>
      <c r="F202" s="7">
        <v>3543</v>
      </c>
      <c r="G202" s="7">
        <v>334</v>
      </c>
      <c r="H202" s="7">
        <v>218</v>
      </c>
      <c r="I202" s="7">
        <v>58007</v>
      </c>
      <c r="J202" s="7">
        <v>24792</v>
      </c>
      <c r="K202" s="7">
        <v>273</v>
      </c>
      <c r="L202" s="4" t="s">
        <v>58</v>
      </c>
      <c r="M202" s="4" t="s">
        <v>59</v>
      </c>
      <c r="N202" s="16">
        <f t="shared" si="6"/>
        <v>7.0594928198320889E-2</v>
      </c>
      <c r="O202" s="8">
        <f t="shared" si="7"/>
        <v>201</v>
      </c>
    </row>
    <row r="203" spans="1:15" ht="15.75" customHeight="1" x14ac:dyDescent="0.3">
      <c r="A203" s="4" t="s">
        <v>23</v>
      </c>
      <c r="B203" s="4" t="s">
        <v>24</v>
      </c>
      <c r="C203" s="5">
        <v>45629</v>
      </c>
      <c r="D203" s="4" t="s">
        <v>25</v>
      </c>
      <c r="E203" s="6" t="s">
        <v>26</v>
      </c>
      <c r="F203" s="7">
        <v>3092</v>
      </c>
      <c r="G203" s="7">
        <v>177</v>
      </c>
      <c r="H203" s="7">
        <v>81</v>
      </c>
      <c r="I203" s="7">
        <v>47533</v>
      </c>
      <c r="J203" s="7">
        <v>29220</v>
      </c>
      <c r="K203" s="7">
        <v>121</v>
      </c>
      <c r="L203" s="4" t="s">
        <v>27</v>
      </c>
      <c r="M203" s="4" t="s">
        <v>18</v>
      </c>
      <c r="N203" s="16">
        <f t="shared" si="6"/>
        <v>7.0477352576105018E-2</v>
      </c>
      <c r="O203" s="8">
        <f t="shared" si="7"/>
        <v>202</v>
      </c>
    </row>
    <row r="204" spans="1:15" ht="15.75" customHeight="1" x14ac:dyDescent="0.3">
      <c r="A204" s="4" t="s">
        <v>69</v>
      </c>
      <c r="B204" s="4" t="s">
        <v>24</v>
      </c>
      <c r="C204" s="5">
        <v>45734</v>
      </c>
      <c r="D204" s="4" t="s">
        <v>25</v>
      </c>
      <c r="E204" s="6" t="s">
        <v>20</v>
      </c>
      <c r="F204" s="7">
        <v>3418</v>
      </c>
      <c r="G204" s="7">
        <v>188</v>
      </c>
      <c r="H204" s="7">
        <v>387</v>
      </c>
      <c r="I204" s="7">
        <v>57431</v>
      </c>
      <c r="J204" s="7">
        <v>36933</v>
      </c>
      <c r="K204" s="7">
        <v>202</v>
      </c>
      <c r="L204" s="4" t="s">
        <v>27</v>
      </c>
      <c r="M204" s="4" t="s">
        <v>18</v>
      </c>
      <c r="N204" s="16">
        <f t="shared" si="6"/>
        <v>6.9526910553533799E-2</v>
      </c>
      <c r="O204" s="8">
        <f t="shared" si="7"/>
        <v>203</v>
      </c>
    </row>
    <row r="205" spans="1:15" ht="15.75" customHeight="1" x14ac:dyDescent="0.3">
      <c r="A205" s="4" t="s">
        <v>191</v>
      </c>
      <c r="B205" s="4" t="s">
        <v>14</v>
      </c>
      <c r="C205" s="5">
        <v>45516</v>
      </c>
      <c r="D205" s="4" t="s">
        <v>25</v>
      </c>
      <c r="E205" s="6" t="s">
        <v>16</v>
      </c>
      <c r="F205" s="7">
        <v>2962</v>
      </c>
      <c r="G205" s="7">
        <v>400</v>
      </c>
      <c r="H205" s="7">
        <v>280</v>
      </c>
      <c r="I205" s="7">
        <v>52508</v>
      </c>
      <c r="J205" s="7">
        <v>58329</v>
      </c>
      <c r="K205" s="7">
        <v>219</v>
      </c>
      <c r="L205" s="4" t="s">
        <v>42</v>
      </c>
      <c r="M205" s="4" t="s">
        <v>55</v>
      </c>
      <c r="N205" s="16">
        <f t="shared" si="6"/>
        <v>6.9360859297630834E-2</v>
      </c>
      <c r="O205" s="8">
        <f t="shared" si="7"/>
        <v>204</v>
      </c>
    </row>
    <row r="206" spans="1:15" ht="15.75" customHeight="1" x14ac:dyDescent="0.3">
      <c r="A206" s="4" t="s">
        <v>139</v>
      </c>
      <c r="B206" s="4" t="s">
        <v>24</v>
      </c>
      <c r="C206" s="5">
        <v>45580</v>
      </c>
      <c r="D206" s="4" t="s">
        <v>15</v>
      </c>
      <c r="E206" s="6" t="s">
        <v>29</v>
      </c>
      <c r="F206" s="7">
        <v>1984</v>
      </c>
      <c r="G206" s="7">
        <v>481</v>
      </c>
      <c r="H206" s="7">
        <v>356</v>
      </c>
      <c r="I206" s="7">
        <v>40681</v>
      </c>
      <c r="J206" s="7">
        <v>63111</v>
      </c>
      <c r="K206" s="7">
        <v>258</v>
      </c>
      <c r="L206" s="4" t="s">
        <v>42</v>
      </c>
      <c r="M206" s="4" t="s">
        <v>18</v>
      </c>
      <c r="N206" s="16">
        <f t="shared" si="6"/>
        <v>6.934441139598338E-2</v>
      </c>
      <c r="O206" s="8">
        <f t="shared" si="7"/>
        <v>205</v>
      </c>
    </row>
    <row r="207" spans="1:15" ht="15.75" customHeight="1" x14ac:dyDescent="0.3">
      <c r="A207" s="4" t="s">
        <v>301</v>
      </c>
      <c r="B207" s="4" t="s">
        <v>24</v>
      </c>
      <c r="C207" s="5">
        <v>45612</v>
      </c>
      <c r="D207" s="4" t="s">
        <v>15</v>
      </c>
      <c r="E207" s="6" t="s">
        <v>49</v>
      </c>
      <c r="F207" s="7">
        <v>2972</v>
      </c>
      <c r="G207" s="7">
        <v>263</v>
      </c>
      <c r="H207" s="7">
        <v>308</v>
      </c>
      <c r="I207" s="7">
        <v>51740</v>
      </c>
      <c r="J207" s="7">
        <v>28214</v>
      </c>
      <c r="K207" s="7">
        <v>190</v>
      </c>
      <c r="L207" s="4" t="s">
        <v>45</v>
      </c>
      <c r="M207" s="4" t="s">
        <v>22</v>
      </c>
      <c r="N207" s="16">
        <f t="shared" si="6"/>
        <v>6.8477000386548123E-2</v>
      </c>
      <c r="O207" s="8">
        <f t="shared" si="7"/>
        <v>206</v>
      </c>
    </row>
    <row r="208" spans="1:15" ht="15.75" customHeight="1" x14ac:dyDescent="0.3">
      <c r="A208" s="4" t="s">
        <v>271</v>
      </c>
      <c r="B208" s="4" t="s">
        <v>14</v>
      </c>
      <c r="C208" s="5">
        <v>45379</v>
      </c>
      <c r="D208" s="4" t="s">
        <v>15</v>
      </c>
      <c r="E208" s="6" t="s">
        <v>35</v>
      </c>
      <c r="F208" s="7">
        <v>1673</v>
      </c>
      <c r="G208" s="7">
        <v>280</v>
      </c>
      <c r="H208" s="7">
        <v>67</v>
      </c>
      <c r="I208" s="7">
        <v>29847</v>
      </c>
      <c r="J208" s="7">
        <v>48016</v>
      </c>
      <c r="K208" s="7">
        <v>213</v>
      </c>
      <c r="L208" s="4" t="s">
        <v>17</v>
      </c>
      <c r="M208" s="4" t="s">
        <v>18</v>
      </c>
      <c r="N208" s="16">
        <f t="shared" si="6"/>
        <v>6.76784936509532E-2</v>
      </c>
      <c r="O208" s="8">
        <f t="shared" si="7"/>
        <v>207</v>
      </c>
    </row>
    <row r="209" spans="1:15" ht="15.75" customHeight="1" x14ac:dyDescent="0.3">
      <c r="A209" s="4" t="s">
        <v>143</v>
      </c>
      <c r="B209" s="4" t="s">
        <v>14</v>
      </c>
      <c r="C209" s="5">
        <v>45336</v>
      </c>
      <c r="D209" s="4" t="s">
        <v>15</v>
      </c>
      <c r="E209" s="6" t="s">
        <v>32</v>
      </c>
      <c r="F209" s="7">
        <v>1830</v>
      </c>
      <c r="G209" s="7">
        <v>112</v>
      </c>
      <c r="H209" s="7">
        <v>181</v>
      </c>
      <c r="I209" s="7">
        <v>31870</v>
      </c>
      <c r="J209" s="7">
        <v>55742</v>
      </c>
      <c r="K209" s="7">
        <v>263</v>
      </c>
      <c r="L209" s="4" t="s">
        <v>17</v>
      </c>
      <c r="M209" s="4" t="s">
        <v>18</v>
      </c>
      <c r="N209" s="16">
        <f t="shared" si="6"/>
        <v>6.6614370881706936E-2</v>
      </c>
      <c r="O209" s="8">
        <f t="shared" si="7"/>
        <v>208</v>
      </c>
    </row>
    <row r="210" spans="1:15" ht="15.75" customHeight="1" x14ac:dyDescent="0.3">
      <c r="A210" s="4" t="s">
        <v>318</v>
      </c>
      <c r="B210" s="4" t="s">
        <v>14</v>
      </c>
      <c r="C210" s="5">
        <v>45628</v>
      </c>
      <c r="D210" s="4" t="s">
        <v>15</v>
      </c>
      <c r="E210" s="6" t="s">
        <v>41</v>
      </c>
      <c r="F210" s="7">
        <v>3194</v>
      </c>
      <c r="G210" s="7">
        <v>292</v>
      </c>
      <c r="H210" s="7">
        <v>245</v>
      </c>
      <c r="I210" s="7">
        <v>56371</v>
      </c>
      <c r="J210" s="7">
        <v>65597</v>
      </c>
      <c r="K210" s="7">
        <v>163</v>
      </c>
      <c r="L210" s="4" t="s">
        <v>17</v>
      </c>
      <c r="M210" s="4" t="s">
        <v>18</v>
      </c>
      <c r="N210" s="16">
        <f t="shared" si="6"/>
        <v>6.6186514342481059E-2</v>
      </c>
      <c r="O210" s="8">
        <f t="shared" si="7"/>
        <v>209</v>
      </c>
    </row>
    <row r="211" spans="1:15" ht="15.75" customHeight="1" x14ac:dyDescent="0.3">
      <c r="A211" s="4" t="s">
        <v>313</v>
      </c>
      <c r="B211" s="4" t="s">
        <v>24</v>
      </c>
      <c r="C211" s="5">
        <v>45334</v>
      </c>
      <c r="D211" s="4" t="s">
        <v>15</v>
      </c>
      <c r="E211" s="6" t="s">
        <v>20</v>
      </c>
      <c r="F211" s="7">
        <v>2691</v>
      </c>
      <c r="G211" s="7">
        <v>486</v>
      </c>
      <c r="H211" s="7">
        <v>206</v>
      </c>
      <c r="I211" s="7">
        <v>51133</v>
      </c>
      <c r="J211" s="7">
        <v>44583</v>
      </c>
      <c r="K211" s="7">
        <v>276</v>
      </c>
      <c r="L211" s="4" t="s">
        <v>42</v>
      </c>
      <c r="M211" s="4" t="s">
        <v>18</v>
      </c>
      <c r="N211" s="16">
        <f t="shared" si="6"/>
        <v>6.6160796354604659E-2</v>
      </c>
      <c r="O211" s="8">
        <f t="shared" si="7"/>
        <v>210</v>
      </c>
    </row>
    <row r="212" spans="1:15" ht="15.75" customHeight="1" x14ac:dyDescent="0.3">
      <c r="A212" s="4" t="s">
        <v>233</v>
      </c>
      <c r="B212" s="4" t="s">
        <v>31</v>
      </c>
      <c r="C212" s="5">
        <v>45447</v>
      </c>
      <c r="D212" s="4" t="s">
        <v>57</v>
      </c>
      <c r="E212" s="6" t="s">
        <v>29</v>
      </c>
      <c r="F212" s="7">
        <v>1211</v>
      </c>
      <c r="G212" s="7">
        <v>431</v>
      </c>
      <c r="H212" s="7">
        <v>83</v>
      </c>
      <c r="I212" s="7">
        <v>26532</v>
      </c>
      <c r="J212" s="7">
        <v>47305</v>
      </c>
      <c r="K212" s="7">
        <v>232</v>
      </c>
      <c r="L212" s="4" t="s">
        <v>58</v>
      </c>
      <c r="M212" s="4" t="s">
        <v>59</v>
      </c>
      <c r="N212" s="16">
        <f t="shared" si="6"/>
        <v>6.5015829941203071E-2</v>
      </c>
      <c r="O212" s="8">
        <f t="shared" si="7"/>
        <v>211</v>
      </c>
    </row>
    <row r="213" spans="1:15" ht="15.75" customHeight="1" x14ac:dyDescent="0.3">
      <c r="A213" s="4" t="s">
        <v>275</v>
      </c>
      <c r="B213" s="4" t="s">
        <v>31</v>
      </c>
      <c r="C213" s="5">
        <v>45542</v>
      </c>
      <c r="D213" s="4" t="s">
        <v>15</v>
      </c>
      <c r="E213" s="6" t="s">
        <v>51</v>
      </c>
      <c r="F213" s="7">
        <v>2101</v>
      </c>
      <c r="G213" s="7">
        <v>411</v>
      </c>
      <c r="H213" s="7">
        <v>190</v>
      </c>
      <c r="I213" s="7">
        <v>41791</v>
      </c>
      <c r="J213" s="7">
        <v>57090</v>
      </c>
      <c r="K213" s="7">
        <v>172</v>
      </c>
      <c r="L213" s="4" t="s">
        <v>33</v>
      </c>
      <c r="M213" s="4" t="s">
        <v>22</v>
      </c>
      <c r="N213" s="16">
        <f t="shared" si="6"/>
        <v>6.4655069273288512E-2</v>
      </c>
      <c r="O213" s="8">
        <f t="shared" si="7"/>
        <v>212</v>
      </c>
    </row>
    <row r="214" spans="1:15" ht="15.75" customHeight="1" x14ac:dyDescent="0.3">
      <c r="A214" s="4" t="s">
        <v>56</v>
      </c>
      <c r="B214" s="4" t="s">
        <v>31</v>
      </c>
      <c r="C214" s="5">
        <v>45458</v>
      </c>
      <c r="D214" s="4" t="s">
        <v>57</v>
      </c>
      <c r="E214" s="6" t="s">
        <v>37</v>
      </c>
      <c r="F214" s="7">
        <v>1751</v>
      </c>
      <c r="G214" s="7">
        <v>143</v>
      </c>
      <c r="H214" s="7">
        <v>151</v>
      </c>
      <c r="I214" s="7">
        <v>31826</v>
      </c>
      <c r="J214" s="7">
        <v>47729</v>
      </c>
      <c r="K214" s="7">
        <v>95</v>
      </c>
      <c r="L214" s="4" t="s">
        <v>58</v>
      </c>
      <c r="M214" s="4" t="s">
        <v>59</v>
      </c>
      <c r="N214" s="16">
        <f t="shared" si="6"/>
        <v>6.4255640042732362E-2</v>
      </c>
      <c r="O214" s="8">
        <f t="shared" si="7"/>
        <v>213</v>
      </c>
    </row>
    <row r="215" spans="1:15" ht="15.75" customHeight="1" x14ac:dyDescent="0.3">
      <c r="A215" s="4" t="s">
        <v>133</v>
      </c>
      <c r="B215" s="4" t="s">
        <v>14</v>
      </c>
      <c r="C215" s="5">
        <v>45351</v>
      </c>
      <c r="D215" s="4" t="s">
        <v>15</v>
      </c>
      <c r="E215" s="6" t="s">
        <v>49</v>
      </c>
      <c r="F215" s="7">
        <v>1100</v>
      </c>
      <c r="G215" s="7">
        <v>229</v>
      </c>
      <c r="H215" s="7">
        <v>312</v>
      </c>
      <c r="I215" s="7">
        <v>25641</v>
      </c>
      <c r="J215" s="7">
        <v>34601</v>
      </c>
      <c r="K215" s="7">
        <v>169</v>
      </c>
      <c r="L215" s="4" t="s">
        <v>21</v>
      </c>
      <c r="M215" s="4" t="s">
        <v>22</v>
      </c>
      <c r="N215" s="16">
        <f t="shared" si="6"/>
        <v>6.3999063999063993E-2</v>
      </c>
      <c r="O215" s="8">
        <f t="shared" si="7"/>
        <v>214</v>
      </c>
    </row>
    <row r="216" spans="1:15" ht="15.75" customHeight="1" x14ac:dyDescent="0.3">
      <c r="A216" s="4" t="s">
        <v>76</v>
      </c>
      <c r="B216" s="4" t="s">
        <v>14</v>
      </c>
      <c r="C216" s="5">
        <v>45416</v>
      </c>
      <c r="D216" s="4" t="s">
        <v>15</v>
      </c>
      <c r="E216" s="6" t="s">
        <v>29</v>
      </c>
      <c r="F216" s="7">
        <v>2274</v>
      </c>
      <c r="G216" s="7">
        <v>243</v>
      </c>
      <c r="H216" s="7">
        <v>222</v>
      </c>
      <c r="I216" s="7">
        <v>43066</v>
      </c>
      <c r="J216" s="7">
        <v>59174</v>
      </c>
      <c r="K216" s="7">
        <v>80</v>
      </c>
      <c r="L216" s="4" t="s">
        <v>21</v>
      </c>
      <c r="M216" s="4" t="s">
        <v>22</v>
      </c>
      <c r="N216" s="16">
        <f t="shared" si="6"/>
        <v>6.3600055728416843E-2</v>
      </c>
      <c r="O216" s="8">
        <f t="shared" si="7"/>
        <v>215</v>
      </c>
    </row>
    <row r="217" spans="1:15" ht="15.75" customHeight="1" x14ac:dyDescent="0.3">
      <c r="A217" s="4" t="s">
        <v>241</v>
      </c>
      <c r="B217" s="4" t="s">
        <v>24</v>
      </c>
      <c r="C217" s="5">
        <v>45547</v>
      </c>
      <c r="D217" s="4" t="s">
        <v>25</v>
      </c>
      <c r="E217" s="6" t="s">
        <v>29</v>
      </c>
      <c r="F217" s="7">
        <v>1839</v>
      </c>
      <c r="G217" s="7">
        <v>223</v>
      </c>
      <c r="H217" s="7">
        <v>171</v>
      </c>
      <c r="I217" s="7">
        <v>35459</v>
      </c>
      <c r="J217" s="7">
        <v>69988</v>
      </c>
      <c r="K217" s="7">
        <v>114</v>
      </c>
      <c r="L217" s="4" t="s">
        <v>27</v>
      </c>
      <c r="M217" s="4" t="s">
        <v>18</v>
      </c>
      <c r="N217" s="16">
        <f t="shared" si="6"/>
        <v>6.2974139146620034E-2</v>
      </c>
      <c r="O217" s="8">
        <f t="shared" si="7"/>
        <v>216</v>
      </c>
    </row>
    <row r="218" spans="1:15" ht="15.75" customHeight="1" x14ac:dyDescent="0.3">
      <c r="A218" s="4" t="s">
        <v>224</v>
      </c>
      <c r="B218" s="4" t="s">
        <v>24</v>
      </c>
      <c r="C218" s="5">
        <v>45486</v>
      </c>
      <c r="D218" s="4" t="s">
        <v>25</v>
      </c>
      <c r="E218" s="6" t="s">
        <v>37</v>
      </c>
      <c r="F218" s="7">
        <v>2408</v>
      </c>
      <c r="G218" s="7">
        <v>323</v>
      </c>
      <c r="H218" s="7">
        <v>251</v>
      </c>
      <c r="I218" s="7">
        <v>47599</v>
      </c>
      <c r="J218" s="7">
        <v>35543</v>
      </c>
      <c r="K218" s="7">
        <v>287</v>
      </c>
      <c r="L218" s="4" t="s">
        <v>27</v>
      </c>
      <c r="M218" s="4" t="s">
        <v>18</v>
      </c>
      <c r="N218" s="16">
        <f t="shared" si="6"/>
        <v>6.2648374965860634E-2</v>
      </c>
      <c r="O218" s="8">
        <f t="shared" si="7"/>
        <v>217</v>
      </c>
    </row>
    <row r="219" spans="1:15" ht="15.75" customHeight="1" x14ac:dyDescent="0.3">
      <c r="A219" s="4" t="s">
        <v>145</v>
      </c>
      <c r="B219" s="4" t="s">
        <v>24</v>
      </c>
      <c r="C219" s="5">
        <v>45553</v>
      </c>
      <c r="D219" s="4" t="s">
        <v>15</v>
      </c>
      <c r="E219" s="6" t="s">
        <v>16</v>
      </c>
      <c r="F219" s="7">
        <v>2878</v>
      </c>
      <c r="G219" s="7">
        <v>265</v>
      </c>
      <c r="H219" s="7">
        <v>91</v>
      </c>
      <c r="I219" s="7">
        <v>52090</v>
      </c>
      <c r="J219" s="7">
        <v>28924</v>
      </c>
      <c r="K219" s="7">
        <v>133</v>
      </c>
      <c r="L219" s="4" t="s">
        <v>42</v>
      </c>
      <c r="M219" s="4" t="s">
        <v>18</v>
      </c>
      <c r="N219" s="16">
        <f t="shared" si="6"/>
        <v>6.2084853138798232E-2</v>
      </c>
      <c r="O219" s="8">
        <f t="shared" si="7"/>
        <v>218</v>
      </c>
    </row>
    <row r="220" spans="1:15" ht="15.75" customHeight="1" x14ac:dyDescent="0.3">
      <c r="A220" s="4" t="s">
        <v>307</v>
      </c>
      <c r="B220" s="4" t="s">
        <v>31</v>
      </c>
      <c r="C220" s="5">
        <v>45604</v>
      </c>
      <c r="D220" s="4" t="s">
        <v>15</v>
      </c>
      <c r="E220" s="6" t="s">
        <v>41</v>
      </c>
      <c r="F220" s="7">
        <v>2471</v>
      </c>
      <c r="G220" s="7">
        <v>166</v>
      </c>
      <c r="H220" s="7">
        <v>320</v>
      </c>
      <c r="I220" s="7">
        <v>48254</v>
      </c>
      <c r="J220" s="7">
        <v>46900</v>
      </c>
      <c r="K220" s="7">
        <v>111</v>
      </c>
      <c r="L220" s="4" t="s">
        <v>33</v>
      </c>
      <c r="M220" s="4" t="s">
        <v>22</v>
      </c>
      <c r="N220" s="16">
        <f t="shared" si="6"/>
        <v>6.1279893894806647E-2</v>
      </c>
      <c r="O220" s="8">
        <f t="shared" si="7"/>
        <v>219</v>
      </c>
    </row>
    <row r="221" spans="1:15" ht="15.75" customHeight="1" x14ac:dyDescent="0.3">
      <c r="A221" s="4" t="s">
        <v>127</v>
      </c>
      <c r="B221" s="4" t="s">
        <v>24</v>
      </c>
      <c r="C221" s="5">
        <v>45405</v>
      </c>
      <c r="D221" s="4" t="s">
        <v>25</v>
      </c>
      <c r="E221" s="6" t="s">
        <v>16</v>
      </c>
      <c r="F221" s="7">
        <v>2683</v>
      </c>
      <c r="G221" s="7">
        <v>496</v>
      </c>
      <c r="H221" s="7">
        <v>89</v>
      </c>
      <c r="I221" s="7">
        <v>53435</v>
      </c>
      <c r="J221" s="7">
        <v>30334</v>
      </c>
      <c r="K221" s="7">
        <v>160</v>
      </c>
      <c r="L221" s="4" t="s">
        <v>17</v>
      </c>
      <c r="M221" s="4" t="s">
        <v>18</v>
      </c>
      <c r="N221" s="16">
        <f t="shared" si="6"/>
        <v>6.1158416768035934E-2</v>
      </c>
      <c r="O221" s="8">
        <f t="shared" si="7"/>
        <v>220</v>
      </c>
    </row>
    <row r="222" spans="1:15" ht="15.75" customHeight="1" x14ac:dyDescent="0.3">
      <c r="A222" s="4" t="s">
        <v>338</v>
      </c>
      <c r="B222" s="4" t="s">
        <v>24</v>
      </c>
      <c r="C222" s="5">
        <v>45838</v>
      </c>
      <c r="D222" s="4" t="s">
        <v>15</v>
      </c>
      <c r="E222" s="6" t="s">
        <v>35</v>
      </c>
      <c r="F222" s="7">
        <v>2275</v>
      </c>
      <c r="G222" s="7">
        <v>285</v>
      </c>
      <c r="H222" s="7">
        <v>125</v>
      </c>
      <c r="I222" s="7">
        <v>43970</v>
      </c>
      <c r="J222" s="7">
        <v>74761</v>
      </c>
      <c r="K222" s="7">
        <v>83</v>
      </c>
      <c r="L222" s="4" t="s">
        <v>42</v>
      </c>
      <c r="M222" s="4" t="s">
        <v>18</v>
      </c>
      <c r="N222" s="16">
        <f t="shared" si="6"/>
        <v>6.1064362065044349E-2</v>
      </c>
      <c r="O222" s="8">
        <f t="shared" si="7"/>
        <v>221</v>
      </c>
    </row>
    <row r="223" spans="1:15" ht="15.75" customHeight="1" x14ac:dyDescent="0.3">
      <c r="A223" s="4" t="s">
        <v>184</v>
      </c>
      <c r="B223" s="4" t="s">
        <v>14</v>
      </c>
      <c r="C223" s="5">
        <v>45702</v>
      </c>
      <c r="D223" s="4" t="s">
        <v>15</v>
      </c>
      <c r="E223" s="6" t="s">
        <v>16</v>
      </c>
      <c r="F223" s="7">
        <v>2329</v>
      </c>
      <c r="G223" s="7">
        <v>373</v>
      </c>
      <c r="H223" s="7">
        <v>291</v>
      </c>
      <c r="I223" s="7">
        <v>49577</v>
      </c>
      <c r="J223" s="7">
        <v>28002</v>
      </c>
      <c r="K223" s="7">
        <v>82</v>
      </c>
      <c r="L223" s="4" t="s">
        <v>17</v>
      </c>
      <c r="M223" s="4" t="s">
        <v>18</v>
      </c>
      <c r="N223" s="16">
        <f t="shared" si="6"/>
        <v>6.0370736430199488E-2</v>
      </c>
      <c r="O223" s="8">
        <f t="shared" si="7"/>
        <v>222</v>
      </c>
    </row>
    <row r="224" spans="1:15" ht="15.75" customHeight="1" x14ac:dyDescent="0.3">
      <c r="A224" s="4" t="s">
        <v>125</v>
      </c>
      <c r="B224" s="4" t="s">
        <v>14</v>
      </c>
      <c r="C224" s="5">
        <v>45522</v>
      </c>
      <c r="D224" s="4" t="s">
        <v>15</v>
      </c>
      <c r="E224" s="6" t="s">
        <v>20</v>
      </c>
      <c r="F224" s="7">
        <v>2965</v>
      </c>
      <c r="G224" s="7">
        <v>328</v>
      </c>
      <c r="H224" s="7">
        <v>171</v>
      </c>
      <c r="I224" s="7">
        <v>57685</v>
      </c>
      <c r="J224" s="7">
        <v>67536</v>
      </c>
      <c r="K224" s="7">
        <v>264</v>
      </c>
      <c r="L224" s="4" t="s">
        <v>17</v>
      </c>
      <c r="M224" s="4" t="s">
        <v>18</v>
      </c>
      <c r="N224" s="16">
        <f t="shared" si="6"/>
        <v>6.0050273034584378E-2</v>
      </c>
      <c r="O224" s="8">
        <f t="shared" si="7"/>
        <v>223</v>
      </c>
    </row>
    <row r="225" spans="1:15" ht="15.75" customHeight="1" x14ac:dyDescent="0.3">
      <c r="A225" s="4" t="s">
        <v>337</v>
      </c>
      <c r="B225" s="4" t="s">
        <v>24</v>
      </c>
      <c r="C225" s="5">
        <v>45612</v>
      </c>
      <c r="D225" s="4" t="s">
        <v>15</v>
      </c>
      <c r="E225" s="6" t="s">
        <v>20</v>
      </c>
      <c r="F225" s="7">
        <v>2901</v>
      </c>
      <c r="G225" s="7">
        <v>108</v>
      </c>
      <c r="H225" s="7">
        <v>86</v>
      </c>
      <c r="I225" s="7">
        <v>51777</v>
      </c>
      <c r="J225" s="7">
        <v>23773</v>
      </c>
      <c r="K225" s="7">
        <v>160</v>
      </c>
      <c r="L225" s="4" t="s">
        <v>45</v>
      </c>
      <c r="M225" s="4" t="s">
        <v>22</v>
      </c>
      <c r="N225" s="16">
        <f t="shared" si="6"/>
        <v>5.9775576027966085E-2</v>
      </c>
      <c r="O225" s="8">
        <f t="shared" si="7"/>
        <v>224</v>
      </c>
    </row>
    <row r="226" spans="1:15" ht="15.75" customHeight="1" x14ac:dyDescent="0.3">
      <c r="A226" s="4" t="s">
        <v>194</v>
      </c>
      <c r="B226" s="4" t="s">
        <v>14</v>
      </c>
      <c r="C226" s="5">
        <v>45615</v>
      </c>
      <c r="D226" s="4" t="s">
        <v>15</v>
      </c>
      <c r="E226" s="6" t="s">
        <v>35</v>
      </c>
      <c r="F226" s="7">
        <v>2525</v>
      </c>
      <c r="G226" s="7">
        <v>272</v>
      </c>
      <c r="H226" s="7">
        <v>294</v>
      </c>
      <c r="I226" s="7">
        <v>51875</v>
      </c>
      <c r="J226" s="7">
        <v>24732</v>
      </c>
      <c r="K226" s="7">
        <v>92</v>
      </c>
      <c r="L226" s="4" t="s">
        <v>21</v>
      </c>
      <c r="M226" s="4" t="s">
        <v>22</v>
      </c>
      <c r="N226" s="16">
        <f t="shared" si="6"/>
        <v>5.9585542168674697E-2</v>
      </c>
      <c r="O226" s="8">
        <f t="shared" si="7"/>
        <v>225</v>
      </c>
    </row>
    <row r="227" spans="1:15" ht="15.75" customHeight="1" x14ac:dyDescent="0.3">
      <c r="A227" s="4" t="s">
        <v>122</v>
      </c>
      <c r="B227" s="4" t="s">
        <v>14</v>
      </c>
      <c r="C227" s="5">
        <v>45530</v>
      </c>
      <c r="D227" s="4" t="s">
        <v>15</v>
      </c>
      <c r="E227" s="6" t="s">
        <v>51</v>
      </c>
      <c r="F227" s="7">
        <v>2102</v>
      </c>
      <c r="G227" s="7">
        <v>181</v>
      </c>
      <c r="H227" s="7">
        <v>306</v>
      </c>
      <c r="I227" s="7">
        <v>43650</v>
      </c>
      <c r="J227" s="7">
        <v>50079</v>
      </c>
      <c r="K227" s="7">
        <v>182</v>
      </c>
      <c r="L227" s="4" t="s">
        <v>21</v>
      </c>
      <c r="M227" s="4" t="s">
        <v>22</v>
      </c>
      <c r="N227" s="16">
        <f t="shared" si="6"/>
        <v>5.9312714776632303E-2</v>
      </c>
      <c r="O227" s="8">
        <f t="shared" si="7"/>
        <v>226</v>
      </c>
    </row>
    <row r="228" spans="1:15" ht="15.75" customHeight="1" x14ac:dyDescent="0.3">
      <c r="A228" s="4" t="s">
        <v>163</v>
      </c>
      <c r="B228" s="4" t="s">
        <v>31</v>
      </c>
      <c r="C228" s="5">
        <v>45424</v>
      </c>
      <c r="D228" s="4" t="s">
        <v>15</v>
      </c>
      <c r="E228" s="6" t="s">
        <v>49</v>
      </c>
      <c r="F228" s="7">
        <v>2911</v>
      </c>
      <c r="G228" s="7">
        <v>467</v>
      </c>
      <c r="H228" s="7">
        <v>94</v>
      </c>
      <c r="I228" s="7">
        <v>59083</v>
      </c>
      <c r="J228" s="7">
        <v>49762</v>
      </c>
      <c r="K228" s="7">
        <v>236</v>
      </c>
      <c r="L228" s="4" t="s">
        <v>33</v>
      </c>
      <c r="M228" s="4" t="s">
        <v>22</v>
      </c>
      <c r="N228" s="16">
        <f t="shared" si="6"/>
        <v>5.8764788517847777E-2</v>
      </c>
      <c r="O228" s="8">
        <f t="shared" si="7"/>
        <v>227</v>
      </c>
    </row>
    <row r="229" spans="1:15" ht="15.75" customHeight="1" x14ac:dyDescent="0.3">
      <c r="A229" s="4" t="s">
        <v>93</v>
      </c>
      <c r="B229" s="4" t="s">
        <v>24</v>
      </c>
      <c r="C229" s="5">
        <v>45516</v>
      </c>
      <c r="D229" s="4" t="s">
        <v>25</v>
      </c>
      <c r="E229" s="6" t="s">
        <v>35</v>
      </c>
      <c r="F229" s="7">
        <v>2842</v>
      </c>
      <c r="G229" s="7">
        <v>213</v>
      </c>
      <c r="H229" s="7">
        <v>331</v>
      </c>
      <c r="I229" s="7">
        <v>57660</v>
      </c>
      <c r="J229" s="7">
        <v>68606</v>
      </c>
      <c r="K229" s="7">
        <v>87</v>
      </c>
      <c r="L229" s="4" t="s">
        <v>27</v>
      </c>
      <c r="M229" s="4" t="s">
        <v>18</v>
      </c>
      <c r="N229" s="16">
        <f t="shared" si="6"/>
        <v>5.8723551855705859E-2</v>
      </c>
      <c r="O229" s="8">
        <f t="shared" si="7"/>
        <v>228</v>
      </c>
    </row>
    <row r="230" spans="1:15" ht="15.75" customHeight="1" x14ac:dyDescent="0.3">
      <c r="A230" s="4" t="s">
        <v>331</v>
      </c>
      <c r="B230" s="4" t="s">
        <v>14</v>
      </c>
      <c r="C230" s="5">
        <v>45472</v>
      </c>
      <c r="D230" s="4" t="s">
        <v>15</v>
      </c>
      <c r="E230" s="6" t="s">
        <v>51</v>
      </c>
      <c r="F230" s="7">
        <v>2088</v>
      </c>
      <c r="G230" s="7">
        <v>490</v>
      </c>
      <c r="H230" s="7">
        <v>124</v>
      </c>
      <c r="I230" s="7">
        <v>46544</v>
      </c>
      <c r="J230" s="7">
        <v>69346</v>
      </c>
      <c r="K230" s="7">
        <v>178</v>
      </c>
      <c r="L230" s="4" t="s">
        <v>17</v>
      </c>
      <c r="M230" s="4" t="s">
        <v>18</v>
      </c>
      <c r="N230" s="16">
        <f t="shared" si="6"/>
        <v>5.8052595393606049E-2</v>
      </c>
      <c r="O230" s="8">
        <f t="shared" si="7"/>
        <v>229</v>
      </c>
    </row>
    <row r="231" spans="1:15" ht="15.75" customHeight="1" x14ac:dyDescent="0.3">
      <c r="A231" s="4" t="s">
        <v>159</v>
      </c>
      <c r="B231" s="4" t="s">
        <v>24</v>
      </c>
      <c r="C231" s="5">
        <v>45806</v>
      </c>
      <c r="D231" s="4" t="s">
        <v>25</v>
      </c>
      <c r="E231" s="6" t="s">
        <v>32</v>
      </c>
      <c r="F231" s="7">
        <v>2134</v>
      </c>
      <c r="G231" s="7">
        <v>322</v>
      </c>
      <c r="H231" s="7">
        <v>114</v>
      </c>
      <c r="I231" s="7">
        <v>44338</v>
      </c>
      <c r="J231" s="7">
        <v>52165</v>
      </c>
      <c r="K231" s="7">
        <v>176</v>
      </c>
      <c r="L231" s="4" t="s">
        <v>27</v>
      </c>
      <c r="M231" s="4" t="s">
        <v>18</v>
      </c>
      <c r="N231" s="16">
        <f t="shared" si="6"/>
        <v>5.7963823356939871E-2</v>
      </c>
      <c r="O231" s="8">
        <f t="shared" si="7"/>
        <v>230</v>
      </c>
    </row>
    <row r="232" spans="1:15" ht="15.75" customHeight="1" x14ac:dyDescent="0.3">
      <c r="A232" s="4" t="s">
        <v>316</v>
      </c>
      <c r="B232" s="4" t="s">
        <v>24</v>
      </c>
      <c r="C232" s="5">
        <v>45720</v>
      </c>
      <c r="D232" s="4" t="s">
        <v>15</v>
      </c>
      <c r="E232" s="6" t="s">
        <v>16</v>
      </c>
      <c r="F232" s="7">
        <v>2177</v>
      </c>
      <c r="G232" s="7">
        <v>258</v>
      </c>
      <c r="H232" s="7">
        <v>292</v>
      </c>
      <c r="I232" s="7">
        <v>47276</v>
      </c>
      <c r="J232" s="7">
        <v>51324</v>
      </c>
      <c r="K232" s="7">
        <v>143</v>
      </c>
      <c r="L232" s="4" t="s">
        <v>42</v>
      </c>
      <c r="M232" s="4" t="s">
        <v>18</v>
      </c>
      <c r="N232" s="16">
        <f t="shared" si="6"/>
        <v>5.7682545054573146E-2</v>
      </c>
      <c r="O232" s="8">
        <f t="shared" si="7"/>
        <v>231</v>
      </c>
    </row>
    <row r="233" spans="1:15" ht="15.75" customHeight="1" x14ac:dyDescent="0.3">
      <c r="A233" s="4" t="s">
        <v>295</v>
      </c>
      <c r="B233" s="4" t="s">
        <v>24</v>
      </c>
      <c r="C233" s="5">
        <v>45385</v>
      </c>
      <c r="D233" s="4" t="s">
        <v>25</v>
      </c>
      <c r="E233" s="6" t="s">
        <v>41</v>
      </c>
      <c r="F233" s="7">
        <v>2291</v>
      </c>
      <c r="G233" s="7">
        <v>146</v>
      </c>
      <c r="H233" s="7">
        <v>399</v>
      </c>
      <c r="I233" s="7">
        <v>49319</v>
      </c>
      <c r="J233" s="7">
        <v>28056</v>
      </c>
      <c r="K233" s="7">
        <v>90</v>
      </c>
      <c r="L233" s="4" t="s">
        <v>39</v>
      </c>
      <c r="M233" s="4" t="s">
        <v>18</v>
      </c>
      <c r="N233" s="16">
        <f t="shared" si="6"/>
        <v>5.7503193495407452E-2</v>
      </c>
      <c r="O233" s="8">
        <f t="shared" si="7"/>
        <v>232</v>
      </c>
    </row>
    <row r="234" spans="1:15" ht="15.75" customHeight="1" x14ac:dyDescent="0.3">
      <c r="A234" s="4" t="s">
        <v>215</v>
      </c>
      <c r="B234" s="4" t="s">
        <v>24</v>
      </c>
      <c r="C234" s="5">
        <v>45748</v>
      </c>
      <c r="D234" s="4" t="s">
        <v>25</v>
      </c>
      <c r="E234" s="6" t="s">
        <v>32</v>
      </c>
      <c r="F234" s="7">
        <v>2665</v>
      </c>
      <c r="G234" s="7">
        <v>143</v>
      </c>
      <c r="H234" s="7">
        <v>315</v>
      </c>
      <c r="I234" s="7">
        <v>54808</v>
      </c>
      <c r="J234" s="7">
        <v>29818</v>
      </c>
      <c r="K234" s="7">
        <v>98</v>
      </c>
      <c r="L234" s="4" t="s">
        <v>39</v>
      </c>
      <c r="M234" s="4" t="s">
        <v>18</v>
      </c>
      <c r="N234" s="16">
        <f t="shared" si="6"/>
        <v>5.6980732739746021E-2</v>
      </c>
      <c r="O234" s="8">
        <f t="shared" si="7"/>
        <v>233</v>
      </c>
    </row>
    <row r="235" spans="1:15" ht="15.75" customHeight="1" x14ac:dyDescent="0.3">
      <c r="A235" s="4" t="s">
        <v>234</v>
      </c>
      <c r="B235" s="4" t="s">
        <v>24</v>
      </c>
      <c r="C235" s="5">
        <v>45422</v>
      </c>
      <c r="D235" s="4" t="s">
        <v>25</v>
      </c>
      <c r="E235" s="6" t="s">
        <v>20</v>
      </c>
      <c r="F235" s="7">
        <v>2784</v>
      </c>
      <c r="G235" s="7">
        <v>111</v>
      </c>
      <c r="H235" s="7">
        <v>399</v>
      </c>
      <c r="I235" s="7">
        <v>58366</v>
      </c>
      <c r="J235" s="7">
        <v>69512</v>
      </c>
      <c r="K235" s="7">
        <v>269</v>
      </c>
      <c r="L235" s="4" t="s">
        <v>27</v>
      </c>
      <c r="M235" s="4" t="s">
        <v>18</v>
      </c>
      <c r="N235" s="16">
        <f t="shared" si="6"/>
        <v>5.6436966727204191E-2</v>
      </c>
      <c r="O235" s="8">
        <f t="shared" si="7"/>
        <v>234</v>
      </c>
    </row>
    <row r="236" spans="1:15" ht="15.75" customHeight="1" x14ac:dyDescent="0.3">
      <c r="A236" s="4" t="s">
        <v>339</v>
      </c>
      <c r="B236" s="4" t="s">
        <v>24</v>
      </c>
      <c r="C236" s="5">
        <v>45303</v>
      </c>
      <c r="D236" s="4" t="s">
        <v>25</v>
      </c>
      <c r="E236" s="6" t="s">
        <v>29</v>
      </c>
      <c r="F236" s="7">
        <v>2227</v>
      </c>
      <c r="G236" s="7">
        <v>494</v>
      </c>
      <c r="H236" s="7">
        <v>161</v>
      </c>
      <c r="I236" s="7">
        <v>51651</v>
      </c>
      <c r="J236" s="7">
        <v>68074</v>
      </c>
      <c r="K236" s="7">
        <v>240</v>
      </c>
      <c r="L236" s="4" t="s">
        <v>39</v>
      </c>
      <c r="M236" s="4" t="s">
        <v>18</v>
      </c>
      <c r="N236" s="16">
        <f t="shared" si="6"/>
        <v>5.5797564422760453E-2</v>
      </c>
      <c r="O236" s="8">
        <f t="shared" si="7"/>
        <v>235</v>
      </c>
    </row>
    <row r="237" spans="1:15" ht="15.75" customHeight="1" x14ac:dyDescent="0.3">
      <c r="A237" s="4" t="s">
        <v>304</v>
      </c>
      <c r="B237" s="4" t="s">
        <v>31</v>
      </c>
      <c r="C237" s="5">
        <v>45808</v>
      </c>
      <c r="D237" s="4" t="s">
        <v>57</v>
      </c>
      <c r="E237" s="6" t="s">
        <v>37</v>
      </c>
      <c r="F237" s="7">
        <v>2162</v>
      </c>
      <c r="G237" s="7">
        <v>318</v>
      </c>
      <c r="H237" s="7">
        <v>83</v>
      </c>
      <c r="I237" s="7">
        <v>46719</v>
      </c>
      <c r="J237" s="7">
        <v>20482</v>
      </c>
      <c r="K237" s="7">
        <v>185</v>
      </c>
      <c r="L237" s="4" t="s">
        <v>58</v>
      </c>
      <c r="M237" s="4" t="s">
        <v>59</v>
      </c>
      <c r="N237" s="16">
        <f t="shared" si="6"/>
        <v>5.4859907104176028E-2</v>
      </c>
      <c r="O237" s="8">
        <f t="shared" si="7"/>
        <v>236</v>
      </c>
    </row>
    <row r="238" spans="1:15" ht="15.75" customHeight="1" x14ac:dyDescent="0.3">
      <c r="A238" s="4" t="s">
        <v>314</v>
      </c>
      <c r="B238" s="4" t="s">
        <v>14</v>
      </c>
      <c r="C238" s="5">
        <v>45573</v>
      </c>
      <c r="D238" s="4" t="s">
        <v>15</v>
      </c>
      <c r="E238" s="6" t="s">
        <v>20</v>
      </c>
      <c r="F238" s="7">
        <v>2110</v>
      </c>
      <c r="G238" s="7">
        <v>384</v>
      </c>
      <c r="H238" s="7">
        <v>236</v>
      </c>
      <c r="I238" s="7">
        <v>49965</v>
      </c>
      <c r="J238" s="7">
        <v>61555</v>
      </c>
      <c r="K238" s="7">
        <v>195</v>
      </c>
      <c r="L238" s="4" t="s">
        <v>21</v>
      </c>
      <c r="M238" s="4" t="s">
        <v>22</v>
      </c>
      <c r="N238" s="16">
        <f t="shared" si="6"/>
        <v>5.4638246772740921E-2</v>
      </c>
      <c r="O238" s="8">
        <f t="shared" si="7"/>
        <v>237</v>
      </c>
    </row>
    <row r="239" spans="1:15" ht="15.75" customHeight="1" x14ac:dyDescent="0.3">
      <c r="A239" s="4" t="s">
        <v>171</v>
      </c>
      <c r="B239" s="4" t="s">
        <v>24</v>
      </c>
      <c r="C239" s="5">
        <v>45736</v>
      </c>
      <c r="D239" s="4" t="s">
        <v>15</v>
      </c>
      <c r="E239" s="6" t="s">
        <v>51</v>
      </c>
      <c r="F239" s="7">
        <v>1564</v>
      </c>
      <c r="G239" s="7">
        <v>362</v>
      </c>
      <c r="H239" s="7">
        <v>371</v>
      </c>
      <c r="I239" s="7">
        <v>42075</v>
      </c>
      <c r="J239" s="7">
        <v>66659</v>
      </c>
      <c r="K239" s="7">
        <v>205</v>
      </c>
      <c r="L239" s="4" t="s">
        <v>45</v>
      </c>
      <c r="M239" s="4" t="s">
        <v>22</v>
      </c>
      <c r="N239" s="16">
        <f t="shared" si="6"/>
        <v>5.4592988710635768E-2</v>
      </c>
      <c r="O239" s="8">
        <f t="shared" si="7"/>
        <v>238</v>
      </c>
    </row>
    <row r="240" spans="1:15" ht="15.75" customHeight="1" x14ac:dyDescent="0.3">
      <c r="A240" s="4" t="s">
        <v>322</v>
      </c>
      <c r="B240" s="4" t="s">
        <v>24</v>
      </c>
      <c r="C240" s="5">
        <v>45343</v>
      </c>
      <c r="D240" s="4" t="s">
        <v>25</v>
      </c>
      <c r="E240" s="6" t="s">
        <v>37</v>
      </c>
      <c r="F240" s="7">
        <v>2604</v>
      </c>
      <c r="G240" s="7">
        <v>439</v>
      </c>
      <c r="H240" s="7">
        <v>148</v>
      </c>
      <c r="I240" s="7">
        <v>58468</v>
      </c>
      <c r="J240" s="7">
        <v>39629</v>
      </c>
      <c r="K240" s="7">
        <v>163</v>
      </c>
      <c r="L240" s="4" t="s">
        <v>27</v>
      </c>
      <c r="M240" s="4" t="s">
        <v>18</v>
      </c>
      <c r="N240" s="16">
        <f t="shared" si="6"/>
        <v>5.4576862557296296E-2</v>
      </c>
      <c r="O240" s="8">
        <f t="shared" si="7"/>
        <v>239</v>
      </c>
    </row>
    <row r="241" spans="1:15" ht="15.75" customHeight="1" x14ac:dyDescent="0.3">
      <c r="A241" s="4" t="s">
        <v>303</v>
      </c>
      <c r="B241" s="4" t="s">
        <v>31</v>
      </c>
      <c r="C241" s="5">
        <v>45378</v>
      </c>
      <c r="D241" s="4" t="s">
        <v>15</v>
      </c>
      <c r="E241" s="6" t="s">
        <v>32</v>
      </c>
      <c r="F241" s="7">
        <v>2399</v>
      </c>
      <c r="G241" s="7">
        <v>191</v>
      </c>
      <c r="H241" s="7">
        <v>221</v>
      </c>
      <c r="I241" s="7">
        <v>51603</v>
      </c>
      <c r="J241" s="7">
        <v>40033</v>
      </c>
      <c r="K241" s="7">
        <v>173</v>
      </c>
      <c r="L241" s="4" t="s">
        <v>33</v>
      </c>
      <c r="M241" s="4" t="s">
        <v>22</v>
      </c>
      <c r="N241" s="16">
        <f t="shared" si="6"/>
        <v>5.4473577117609438E-2</v>
      </c>
      <c r="O241" s="8">
        <f t="shared" si="7"/>
        <v>240</v>
      </c>
    </row>
    <row r="242" spans="1:15" ht="15.75" customHeight="1" x14ac:dyDescent="0.3">
      <c r="A242" s="4" t="s">
        <v>46</v>
      </c>
      <c r="B242" s="4" t="s">
        <v>14</v>
      </c>
      <c r="C242" s="5">
        <v>45426</v>
      </c>
      <c r="D242" s="4" t="s">
        <v>15</v>
      </c>
      <c r="E242" s="6" t="s">
        <v>16</v>
      </c>
      <c r="F242" s="7">
        <v>1485</v>
      </c>
      <c r="G242" s="7">
        <v>353</v>
      </c>
      <c r="H242" s="7">
        <v>244</v>
      </c>
      <c r="I242" s="7">
        <v>38419</v>
      </c>
      <c r="J242" s="7">
        <v>38556</v>
      </c>
      <c r="K242" s="7">
        <v>86</v>
      </c>
      <c r="L242" s="4" t="s">
        <v>17</v>
      </c>
      <c r="M242" s="4" t="s">
        <v>18</v>
      </c>
      <c r="N242" s="16">
        <f t="shared" si="6"/>
        <v>5.4191936281527367E-2</v>
      </c>
      <c r="O242" s="8">
        <f t="shared" si="7"/>
        <v>241</v>
      </c>
    </row>
    <row r="243" spans="1:15" ht="15.75" customHeight="1" x14ac:dyDescent="0.3">
      <c r="A243" s="4" t="s">
        <v>278</v>
      </c>
      <c r="B243" s="4" t="s">
        <v>14</v>
      </c>
      <c r="C243" s="5">
        <v>45823</v>
      </c>
      <c r="D243" s="4" t="s">
        <v>15</v>
      </c>
      <c r="E243" s="6" t="s">
        <v>20</v>
      </c>
      <c r="F243" s="7">
        <v>2478</v>
      </c>
      <c r="G243" s="7">
        <v>427</v>
      </c>
      <c r="H243" s="7">
        <v>242</v>
      </c>
      <c r="I243" s="7">
        <v>59272</v>
      </c>
      <c r="J243" s="7">
        <v>37833</v>
      </c>
      <c r="K243" s="7">
        <v>214</v>
      </c>
      <c r="L243" s="4" t="s">
        <v>17</v>
      </c>
      <c r="M243" s="4" t="s">
        <v>18</v>
      </c>
      <c r="N243" s="16">
        <f t="shared" si="6"/>
        <v>5.3094209744904843E-2</v>
      </c>
      <c r="O243" s="8">
        <f t="shared" si="7"/>
        <v>242</v>
      </c>
    </row>
    <row r="244" spans="1:15" ht="15.75" customHeight="1" x14ac:dyDescent="0.3">
      <c r="A244" s="4" t="s">
        <v>152</v>
      </c>
      <c r="B244" s="4" t="s">
        <v>14</v>
      </c>
      <c r="C244" s="5">
        <v>45704</v>
      </c>
      <c r="D244" s="4" t="s">
        <v>15</v>
      </c>
      <c r="E244" s="6" t="s">
        <v>51</v>
      </c>
      <c r="F244" s="7">
        <v>1333</v>
      </c>
      <c r="G244" s="7">
        <v>286</v>
      </c>
      <c r="H244" s="7">
        <v>298</v>
      </c>
      <c r="I244" s="7">
        <v>36174</v>
      </c>
      <c r="J244" s="7">
        <v>34517</v>
      </c>
      <c r="K244" s="7">
        <v>170</v>
      </c>
      <c r="L244" s="4" t="s">
        <v>17</v>
      </c>
      <c r="M244" s="4" t="s">
        <v>18</v>
      </c>
      <c r="N244" s="16">
        <f t="shared" si="6"/>
        <v>5.2993862995521647E-2</v>
      </c>
      <c r="O244" s="8">
        <f t="shared" si="7"/>
        <v>243</v>
      </c>
    </row>
    <row r="245" spans="1:15" ht="15.75" customHeight="1" x14ac:dyDescent="0.3">
      <c r="A245" s="4" t="s">
        <v>265</v>
      </c>
      <c r="B245" s="4" t="s">
        <v>31</v>
      </c>
      <c r="C245" s="5">
        <v>45323</v>
      </c>
      <c r="D245" s="4" t="s">
        <v>15</v>
      </c>
      <c r="E245" s="6" t="s">
        <v>29</v>
      </c>
      <c r="F245" s="7">
        <v>1432</v>
      </c>
      <c r="G245" s="7">
        <v>437</v>
      </c>
      <c r="H245" s="7">
        <v>267</v>
      </c>
      <c r="I245" s="7">
        <v>40634</v>
      </c>
      <c r="J245" s="7">
        <v>54511</v>
      </c>
      <c r="K245" s="7">
        <v>197</v>
      </c>
      <c r="L245" s="4" t="s">
        <v>33</v>
      </c>
      <c r="M245" s="4" t="s">
        <v>22</v>
      </c>
      <c r="N245" s="16">
        <f t="shared" si="6"/>
        <v>5.2566815966924252E-2</v>
      </c>
      <c r="O245" s="8">
        <f t="shared" si="7"/>
        <v>244</v>
      </c>
    </row>
    <row r="246" spans="1:15" ht="15.75" customHeight="1" x14ac:dyDescent="0.3">
      <c r="A246" s="4" t="s">
        <v>266</v>
      </c>
      <c r="B246" s="4" t="s">
        <v>24</v>
      </c>
      <c r="C246" s="5">
        <v>45308</v>
      </c>
      <c r="D246" s="4" t="s">
        <v>25</v>
      </c>
      <c r="E246" s="6" t="s">
        <v>26</v>
      </c>
      <c r="F246" s="7">
        <v>2174</v>
      </c>
      <c r="G246" s="7">
        <v>499</v>
      </c>
      <c r="H246" s="7">
        <v>212</v>
      </c>
      <c r="I246" s="7">
        <v>54938</v>
      </c>
      <c r="J246" s="7">
        <v>27190</v>
      </c>
      <c r="K246" s="7">
        <v>265</v>
      </c>
      <c r="L246" s="4" t="s">
        <v>27</v>
      </c>
      <c r="M246" s="4" t="s">
        <v>18</v>
      </c>
      <c r="N246" s="16">
        <f t="shared" si="6"/>
        <v>5.2513742764570971E-2</v>
      </c>
      <c r="O246" s="8">
        <f t="shared" si="7"/>
        <v>245</v>
      </c>
    </row>
    <row r="247" spans="1:15" ht="15.75" customHeight="1" x14ac:dyDescent="0.3">
      <c r="A247" s="4" t="s">
        <v>296</v>
      </c>
      <c r="B247" s="4" t="s">
        <v>24</v>
      </c>
      <c r="C247" s="5">
        <v>45481</v>
      </c>
      <c r="D247" s="4" t="s">
        <v>25</v>
      </c>
      <c r="E247" s="6" t="s">
        <v>29</v>
      </c>
      <c r="F247" s="7">
        <v>2304</v>
      </c>
      <c r="G247" s="7">
        <v>289</v>
      </c>
      <c r="H247" s="7">
        <v>161</v>
      </c>
      <c r="I247" s="7">
        <v>52645</v>
      </c>
      <c r="J247" s="7">
        <v>66262</v>
      </c>
      <c r="K247" s="7">
        <v>146</v>
      </c>
      <c r="L247" s="4" t="s">
        <v>27</v>
      </c>
      <c r="M247" s="4" t="s">
        <v>18</v>
      </c>
      <c r="N247" s="16">
        <f t="shared" si="6"/>
        <v>5.2312660271630736E-2</v>
      </c>
      <c r="O247" s="8">
        <f t="shared" si="7"/>
        <v>246</v>
      </c>
    </row>
    <row r="248" spans="1:15" ht="15.75" customHeight="1" x14ac:dyDescent="0.3">
      <c r="A248" s="4" t="s">
        <v>113</v>
      </c>
      <c r="B248" s="4" t="s">
        <v>31</v>
      </c>
      <c r="C248" s="5">
        <v>45783</v>
      </c>
      <c r="D248" s="4" t="s">
        <v>57</v>
      </c>
      <c r="E248" s="6" t="s">
        <v>16</v>
      </c>
      <c r="F248" s="7">
        <v>1085</v>
      </c>
      <c r="G248" s="7">
        <v>496</v>
      </c>
      <c r="H248" s="7">
        <v>320</v>
      </c>
      <c r="I248" s="7">
        <v>36528</v>
      </c>
      <c r="J248" s="7">
        <v>38599</v>
      </c>
      <c r="K248" s="7">
        <v>270</v>
      </c>
      <c r="L248" s="4" t="s">
        <v>58</v>
      </c>
      <c r="M248" s="4" t="s">
        <v>59</v>
      </c>
      <c r="N248" s="16">
        <f t="shared" si="6"/>
        <v>5.2042268944371438E-2</v>
      </c>
      <c r="O248" s="8">
        <f t="shared" si="7"/>
        <v>247</v>
      </c>
    </row>
    <row r="249" spans="1:15" ht="15.75" customHeight="1" x14ac:dyDescent="0.3">
      <c r="A249" s="4" t="s">
        <v>256</v>
      </c>
      <c r="B249" s="4" t="s">
        <v>24</v>
      </c>
      <c r="C249" s="5">
        <v>45669</v>
      </c>
      <c r="D249" s="4" t="s">
        <v>15</v>
      </c>
      <c r="E249" s="6" t="s">
        <v>32</v>
      </c>
      <c r="F249" s="7">
        <v>1765</v>
      </c>
      <c r="G249" s="7">
        <v>285</v>
      </c>
      <c r="H249" s="7">
        <v>100</v>
      </c>
      <c r="I249" s="7">
        <v>41313</v>
      </c>
      <c r="J249" s="7">
        <v>56575</v>
      </c>
      <c r="K249" s="7">
        <v>174</v>
      </c>
      <c r="L249" s="4" t="s">
        <v>45</v>
      </c>
      <c r="M249" s="4" t="s">
        <v>22</v>
      </c>
      <c r="N249" s="16">
        <f t="shared" si="6"/>
        <v>5.2041730205988429E-2</v>
      </c>
      <c r="O249" s="8">
        <f t="shared" si="7"/>
        <v>248</v>
      </c>
    </row>
    <row r="250" spans="1:15" ht="15.75" customHeight="1" x14ac:dyDescent="0.3">
      <c r="A250" s="4" t="s">
        <v>312</v>
      </c>
      <c r="B250" s="4" t="s">
        <v>24</v>
      </c>
      <c r="C250" s="5">
        <v>45603</v>
      </c>
      <c r="D250" s="4" t="s">
        <v>15</v>
      </c>
      <c r="E250" s="6" t="s">
        <v>20</v>
      </c>
      <c r="F250" s="7">
        <v>2229</v>
      </c>
      <c r="G250" s="7">
        <v>395</v>
      </c>
      <c r="H250" s="7">
        <v>328</v>
      </c>
      <c r="I250" s="7">
        <v>56921</v>
      </c>
      <c r="J250" s="7">
        <v>37176</v>
      </c>
      <c r="K250" s="7">
        <v>126</v>
      </c>
      <c r="L250" s="4" t="s">
        <v>45</v>
      </c>
      <c r="M250" s="4" t="s">
        <v>22</v>
      </c>
      <c r="N250" s="16">
        <f t="shared" si="6"/>
        <v>5.1861351697967357E-2</v>
      </c>
      <c r="O250" s="8">
        <f t="shared" si="7"/>
        <v>249</v>
      </c>
    </row>
    <row r="251" spans="1:15" ht="15.75" customHeight="1" x14ac:dyDescent="0.3">
      <c r="A251" s="4" t="s">
        <v>236</v>
      </c>
      <c r="B251" s="4" t="s">
        <v>14</v>
      </c>
      <c r="C251" s="5">
        <v>45669</v>
      </c>
      <c r="D251" s="4" t="s">
        <v>15</v>
      </c>
      <c r="E251" s="6" t="s">
        <v>49</v>
      </c>
      <c r="F251" s="7">
        <v>1771</v>
      </c>
      <c r="G251" s="7">
        <v>487</v>
      </c>
      <c r="H251" s="7">
        <v>272</v>
      </c>
      <c r="I251" s="7">
        <v>48810</v>
      </c>
      <c r="J251" s="7">
        <v>48084</v>
      </c>
      <c r="K251" s="7">
        <v>272</v>
      </c>
      <c r="L251" s="4" t="s">
        <v>17</v>
      </c>
      <c r="M251" s="4" t="s">
        <v>18</v>
      </c>
      <c r="N251" s="16">
        <f t="shared" si="6"/>
        <v>5.1833640647408315E-2</v>
      </c>
      <c r="O251" s="8">
        <f t="shared" si="7"/>
        <v>250</v>
      </c>
    </row>
    <row r="252" spans="1:15" ht="15.75" customHeight="1" x14ac:dyDescent="0.3">
      <c r="A252" s="4" t="s">
        <v>66</v>
      </c>
      <c r="B252" s="4" t="s">
        <v>24</v>
      </c>
      <c r="C252" s="5">
        <v>45791</v>
      </c>
      <c r="D252" s="4" t="s">
        <v>25</v>
      </c>
      <c r="E252" s="6" t="s">
        <v>49</v>
      </c>
      <c r="F252" s="7">
        <v>2707</v>
      </c>
      <c r="G252" s="7">
        <v>103</v>
      </c>
      <c r="H252" s="7">
        <v>51</v>
      </c>
      <c r="I252" s="7">
        <v>55302</v>
      </c>
      <c r="J252" s="7">
        <v>18801</v>
      </c>
      <c r="K252" s="7">
        <v>147</v>
      </c>
      <c r="L252" s="4" t="s">
        <v>39</v>
      </c>
      <c r="M252" s="4" t="s">
        <v>18</v>
      </c>
      <c r="N252" s="16">
        <f t="shared" si="6"/>
        <v>5.173411449857148E-2</v>
      </c>
      <c r="O252" s="8">
        <f t="shared" si="7"/>
        <v>251</v>
      </c>
    </row>
    <row r="253" spans="1:15" ht="15.75" customHeight="1" x14ac:dyDescent="0.3">
      <c r="A253" s="4" t="s">
        <v>115</v>
      </c>
      <c r="B253" s="4" t="s">
        <v>24</v>
      </c>
      <c r="C253" s="5">
        <v>45313</v>
      </c>
      <c r="D253" s="4" t="s">
        <v>25</v>
      </c>
      <c r="E253" s="6" t="s">
        <v>49</v>
      </c>
      <c r="F253" s="7">
        <v>1554</v>
      </c>
      <c r="G253" s="7">
        <v>455</v>
      </c>
      <c r="H253" s="7">
        <v>158</v>
      </c>
      <c r="I253" s="7">
        <v>41947</v>
      </c>
      <c r="J253" s="7">
        <v>48578</v>
      </c>
      <c r="K253" s="7">
        <v>101</v>
      </c>
      <c r="L253" s="4" t="s">
        <v>17</v>
      </c>
      <c r="M253" s="4" t="s">
        <v>18</v>
      </c>
      <c r="N253" s="16">
        <f t="shared" si="6"/>
        <v>5.1660428636136076E-2</v>
      </c>
      <c r="O253" s="8">
        <f t="shared" si="7"/>
        <v>252</v>
      </c>
    </row>
    <row r="254" spans="1:15" ht="15.75" customHeight="1" x14ac:dyDescent="0.3">
      <c r="A254" s="4" t="s">
        <v>154</v>
      </c>
      <c r="B254" s="4" t="s">
        <v>24</v>
      </c>
      <c r="C254" s="5">
        <v>45489</v>
      </c>
      <c r="D254" s="4" t="s">
        <v>15</v>
      </c>
      <c r="E254" s="6" t="s">
        <v>41</v>
      </c>
      <c r="F254" s="7">
        <v>1803</v>
      </c>
      <c r="G254" s="7">
        <v>273</v>
      </c>
      <c r="H254" s="7">
        <v>287</v>
      </c>
      <c r="I254" s="7">
        <v>46176</v>
      </c>
      <c r="J254" s="7">
        <v>25488</v>
      </c>
      <c r="K254" s="7">
        <v>141</v>
      </c>
      <c r="L254" s="4" t="s">
        <v>42</v>
      </c>
      <c r="M254" s="4" t="s">
        <v>18</v>
      </c>
      <c r="N254" s="16">
        <f t="shared" si="6"/>
        <v>5.1173769923769923E-2</v>
      </c>
      <c r="O254" s="8">
        <f t="shared" si="7"/>
        <v>253</v>
      </c>
    </row>
    <row r="255" spans="1:15" ht="15.75" customHeight="1" x14ac:dyDescent="0.3">
      <c r="A255" s="4" t="s">
        <v>293</v>
      </c>
      <c r="B255" s="4" t="s">
        <v>31</v>
      </c>
      <c r="C255" s="5">
        <v>45512</v>
      </c>
      <c r="D255" s="4" t="s">
        <v>15</v>
      </c>
      <c r="E255" s="6" t="s">
        <v>49</v>
      </c>
      <c r="F255" s="7">
        <v>1994</v>
      </c>
      <c r="G255" s="7">
        <v>197</v>
      </c>
      <c r="H255" s="7">
        <v>290</v>
      </c>
      <c r="I255" s="7">
        <v>49500</v>
      </c>
      <c r="J255" s="7">
        <v>23343</v>
      </c>
      <c r="K255" s="7">
        <v>160</v>
      </c>
      <c r="L255" s="4" t="s">
        <v>33</v>
      </c>
      <c r="M255" s="4" t="s">
        <v>22</v>
      </c>
      <c r="N255" s="16">
        <f t="shared" si="6"/>
        <v>5.0121212121212122E-2</v>
      </c>
      <c r="O255" s="8">
        <f t="shared" si="7"/>
        <v>254</v>
      </c>
    </row>
    <row r="256" spans="1:15" ht="15.75" customHeight="1" x14ac:dyDescent="0.3">
      <c r="A256" s="4" t="s">
        <v>200</v>
      </c>
      <c r="B256" s="4" t="s">
        <v>31</v>
      </c>
      <c r="C256" s="5">
        <v>45330</v>
      </c>
      <c r="D256" s="4" t="s">
        <v>57</v>
      </c>
      <c r="E256" s="6" t="s">
        <v>41</v>
      </c>
      <c r="F256" s="7">
        <v>1889</v>
      </c>
      <c r="G256" s="7">
        <v>298</v>
      </c>
      <c r="H256" s="7">
        <v>122</v>
      </c>
      <c r="I256" s="7">
        <v>46225</v>
      </c>
      <c r="J256" s="7">
        <v>74305</v>
      </c>
      <c r="K256" s="7">
        <v>293</v>
      </c>
      <c r="L256" s="4" t="s">
        <v>58</v>
      </c>
      <c r="M256" s="4" t="s">
        <v>59</v>
      </c>
      <c r="N256" s="16">
        <f t="shared" si="6"/>
        <v>4.9951325040562468E-2</v>
      </c>
      <c r="O256" s="8">
        <f t="shared" si="7"/>
        <v>255</v>
      </c>
    </row>
    <row r="257" spans="1:15" ht="15.75" customHeight="1" x14ac:dyDescent="0.3">
      <c r="A257" s="4" t="s">
        <v>156</v>
      </c>
      <c r="B257" s="4" t="s">
        <v>14</v>
      </c>
      <c r="C257" s="5">
        <v>45781</v>
      </c>
      <c r="D257" s="4" t="s">
        <v>25</v>
      </c>
      <c r="E257" s="6" t="s">
        <v>26</v>
      </c>
      <c r="F257" s="7">
        <v>1311</v>
      </c>
      <c r="G257" s="7">
        <v>181</v>
      </c>
      <c r="H257" s="7">
        <v>361</v>
      </c>
      <c r="I257" s="7">
        <v>37148</v>
      </c>
      <c r="J257" s="7">
        <v>44875</v>
      </c>
      <c r="K257" s="7">
        <v>245</v>
      </c>
      <c r="L257" s="4" t="s">
        <v>42</v>
      </c>
      <c r="M257" s="4" t="s">
        <v>55</v>
      </c>
      <c r="N257" s="16">
        <f t="shared" si="6"/>
        <v>4.9881554861634543E-2</v>
      </c>
      <c r="O257" s="8">
        <f t="shared" si="7"/>
        <v>256</v>
      </c>
    </row>
    <row r="258" spans="1:15" ht="15.75" customHeight="1" x14ac:dyDescent="0.3">
      <c r="A258" s="4" t="s">
        <v>270</v>
      </c>
      <c r="B258" s="4" t="s">
        <v>31</v>
      </c>
      <c r="C258" s="5">
        <v>45791</v>
      </c>
      <c r="D258" s="4" t="s">
        <v>15</v>
      </c>
      <c r="E258" s="6" t="s">
        <v>16</v>
      </c>
      <c r="F258" s="7">
        <v>1701</v>
      </c>
      <c r="G258" s="7">
        <v>272</v>
      </c>
      <c r="H258" s="7">
        <v>385</v>
      </c>
      <c r="I258" s="7">
        <v>47496</v>
      </c>
      <c r="J258" s="7">
        <v>40832</v>
      </c>
      <c r="K258" s="7">
        <v>246</v>
      </c>
      <c r="L258" s="4" t="s">
        <v>33</v>
      </c>
      <c r="M258" s="4" t="s">
        <v>22</v>
      </c>
      <c r="N258" s="16">
        <f t="shared" ref="N258:N301" si="8">(F258+G258+H258)/I258</f>
        <v>4.9646286003031836E-2</v>
      </c>
      <c r="O258" s="8">
        <f t="shared" si="7"/>
        <v>257</v>
      </c>
    </row>
    <row r="259" spans="1:15" ht="15.75" customHeight="1" x14ac:dyDescent="0.3">
      <c r="A259" s="4" t="s">
        <v>281</v>
      </c>
      <c r="B259" s="4" t="s">
        <v>24</v>
      </c>
      <c r="C259" s="5">
        <v>45550</v>
      </c>
      <c r="D259" s="4" t="s">
        <v>15</v>
      </c>
      <c r="E259" s="6" t="s">
        <v>37</v>
      </c>
      <c r="F259" s="7">
        <v>2145</v>
      </c>
      <c r="G259" s="7">
        <v>340</v>
      </c>
      <c r="H259" s="7">
        <v>85</v>
      </c>
      <c r="I259" s="7">
        <v>53323</v>
      </c>
      <c r="J259" s="7">
        <v>49938</v>
      </c>
      <c r="K259" s="7">
        <v>104</v>
      </c>
      <c r="L259" s="4" t="s">
        <v>42</v>
      </c>
      <c r="M259" s="4" t="s">
        <v>18</v>
      </c>
      <c r="N259" s="16">
        <f t="shared" si="8"/>
        <v>4.819683813738912E-2</v>
      </c>
      <c r="O259" s="8">
        <f t="shared" ref="O259:O301" si="9">RANK(N259,N:N,0)</f>
        <v>258</v>
      </c>
    </row>
    <row r="260" spans="1:15" ht="15.75" customHeight="1" x14ac:dyDescent="0.3">
      <c r="A260" s="4" t="s">
        <v>95</v>
      </c>
      <c r="B260" s="4" t="s">
        <v>24</v>
      </c>
      <c r="C260" s="5">
        <v>45420</v>
      </c>
      <c r="D260" s="4" t="s">
        <v>15</v>
      </c>
      <c r="E260" s="6" t="s">
        <v>20</v>
      </c>
      <c r="F260" s="7">
        <v>1828</v>
      </c>
      <c r="G260" s="7">
        <v>450</v>
      </c>
      <c r="H260" s="7">
        <v>214</v>
      </c>
      <c r="I260" s="7">
        <v>52115</v>
      </c>
      <c r="J260" s="7">
        <v>19166</v>
      </c>
      <c r="K260" s="7">
        <v>190</v>
      </c>
      <c r="L260" s="4" t="s">
        <v>42</v>
      </c>
      <c r="M260" s="4" t="s">
        <v>18</v>
      </c>
      <c r="N260" s="16">
        <f t="shared" si="8"/>
        <v>4.781732706514439E-2</v>
      </c>
      <c r="O260" s="8">
        <f t="shared" si="9"/>
        <v>259</v>
      </c>
    </row>
    <row r="261" spans="1:15" ht="15.75" customHeight="1" x14ac:dyDescent="0.3">
      <c r="A261" s="4" t="s">
        <v>173</v>
      </c>
      <c r="B261" s="4" t="s">
        <v>31</v>
      </c>
      <c r="C261" s="5">
        <v>45318</v>
      </c>
      <c r="D261" s="4" t="s">
        <v>15</v>
      </c>
      <c r="E261" s="6" t="s">
        <v>51</v>
      </c>
      <c r="F261" s="7">
        <v>1976</v>
      </c>
      <c r="G261" s="7">
        <v>262</v>
      </c>
      <c r="H261" s="7">
        <v>218</v>
      </c>
      <c r="I261" s="7">
        <v>51696</v>
      </c>
      <c r="J261" s="7">
        <v>44846</v>
      </c>
      <c r="K261" s="7">
        <v>139</v>
      </c>
      <c r="L261" s="4" t="s">
        <v>33</v>
      </c>
      <c r="M261" s="4" t="s">
        <v>22</v>
      </c>
      <c r="N261" s="16">
        <f t="shared" si="8"/>
        <v>4.7508511296812134E-2</v>
      </c>
      <c r="O261" s="8">
        <f t="shared" si="9"/>
        <v>260</v>
      </c>
    </row>
    <row r="262" spans="1:15" ht="15.75" customHeight="1" x14ac:dyDescent="0.3">
      <c r="A262" s="4" t="s">
        <v>53</v>
      </c>
      <c r="B262" s="4" t="s">
        <v>24</v>
      </c>
      <c r="C262" s="5">
        <v>45453</v>
      </c>
      <c r="D262" s="4" t="s">
        <v>15</v>
      </c>
      <c r="E262" s="6" t="s">
        <v>35</v>
      </c>
      <c r="F262" s="7">
        <v>1514</v>
      </c>
      <c r="G262" s="7">
        <v>164</v>
      </c>
      <c r="H262" s="7">
        <v>275</v>
      </c>
      <c r="I262" s="7">
        <v>41364</v>
      </c>
      <c r="J262" s="7">
        <v>44389</v>
      </c>
      <c r="K262" s="7">
        <v>83</v>
      </c>
      <c r="L262" s="4" t="s">
        <v>42</v>
      </c>
      <c r="M262" s="4" t="s">
        <v>18</v>
      </c>
      <c r="N262" s="16">
        <f t="shared" si="8"/>
        <v>4.7214969538729328E-2</v>
      </c>
      <c r="O262" s="8">
        <f t="shared" si="9"/>
        <v>261</v>
      </c>
    </row>
    <row r="263" spans="1:15" ht="15.75" customHeight="1" x14ac:dyDescent="0.3">
      <c r="A263" s="4" t="s">
        <v>160</v>
      </c>
      <c r="B263" s="4" t="s">
        <v>14</v>
      </c>
      <c r="C263" s="5">
        <v>45674</v>
      </c>
      <c r="D263" s="4" t="s">
        <v>15</v>
      </c>
      <c r="E263" s="6" t="s">
        <v>41</v>
      </c>
      <c r="F263" s="7">
        <v>2266</v>
      </c>
      <c r="G263" s="7">
        <v>126</v>
      </c>
      <c r="H263" s="7">
        <v>140</v>
      </c>
      <c r="I263" s="7">
        <v>53759</v>
      </c>
      <c r="J263" s="7">
        <v>46834</v>
      </c>
      <c r="K263" s="7">
        <v>277</v>
      </c>
      <c r="L263" s="4" t="s">
        <v>21</v>
      </c>
      <c r="M263" s="4" t="s">
        <v>22</v>
      </c>
      <c r="N263" s="16">
        <f t="shared" si="8"/>
        <v>4.7099090384865788E-2</v>
      </c>
      <c r="O263" s="8">
        <f t="shared" si="9"/>
        <v>262</v>
      </c>
    </row>
    <row r="264" spans="1:15" ht="15.75" customHeight="1" x14ac:dyDescent="0.3">
      <c r="A264" s="4" t="s">
        <v>109</v>
      </c>
      <c r="B264" s="4" t="s">
        <v>24</v>
      </c>
      <c r="C264" s="5">
        <v>45643</v>
      </c>
      <c r="D264" s="4" t="s">
        <v>25</v>
      </c>
      <c r="E264" s="6" t="s">
        <v>32</v>
      </c>
      <c r="F264" s="7">
        <v>1316</v>
      </c>
      <c r="G264" s="7">
        <v>472</v>
      </c>
      <c r="H264" s="7">
        <v>286</v>
      </c>
      <c r="I264" s="7">
        <v>44692</v>
      </c>
      <c r="J264" s="7">
        <v>53343</v>
      </c>
      <c r="K264" s="7">
        <v>227</v>
      </c>
      <c r="L264" s="4" t="s">
        <v>39</v>
      </c>
      <c r="M264" s="4" t="s">
        <v>18</v>
      </c>
      <c r="N264" s="16">
        <f t="shared" si="8"/>
        <v>4.6406515707509172E-2</v>
      </c>
      <c r="O264" s="8">
        <f t="shared" si="9"/>
        <v>263</v>
      </c>
    </row>
    <row r="265" spans="1:15" ht="15.75" customHeight="1" x14ac:dyDescent="0.3">
      <c r="A265" s="4" t="s">
        <v>259</v>
      </c>
      <c r="B265" s="4" t="s">
        <v>24</v>
      </c>
      <c r="C265" s="5">
        <v>45332</v>
      </c>
      <c r="D265" s="4" t="s">
        <v>15</v>
      </c>
      <c r="E265" s="6" t="s">
        <v>49</v>
      </c>
      <c r="F265" s="7">
        <v>1519</v>
      </c>
      <c r="G265" s="7">
        <v>456</v>
      </c>
      <c r="H265" s="7">
        <v>379</v>
      </c>
      <c r="I265" s="7">
        <v>51611</v>
      </c>
      <c r="J265" s="7">
        <v>45880</v>
      </c>
      <c r="K265" s="7">
        <v>176</v>
      </c>
      <c r="L265" s="4" t="s">
        <v>45</v>
      </c>
      <c r="M265" s="4" t="s">
        <v>22</v>
      </c>
      <c r="N265" s="16">
        <f t="shared" si="8"/>
        <v>4.5610431884675749E-2</v>
      </c>
      <c r="O265" s="8">
        <f t="shared" si="9"/>
        <v>264</v>
      </c>
    </row>
    <row r="266" spans="1:15" ht="15.75" customHeight="1" x14ac:dyDescent="0.3">
      <c r="A266" s="4" t="s">
        <v>240</v>
      </c>
      <c r="B266" s="4" t="s">
        <v>24</v>
      </c>
      <c r="C266" s="5">
        <v>45369</v>
      </c>
      <c r="D266" s="4" t="s">
        <v>15</v>
      </c>
      <c r="E266" s="6" t="s">
        <v>26</v>
      </c>
      <c r="F266" s="7">
        <v>2033</v>
      </c>
      <c r="G266" s="7">
        <v>420</v>
      </c>
      <c r="H266" s="7">
        <v>94</v>
      </c>
      <c r="I266" s="7">
        <v>56290</v>
      </c>
      <c r="J266" s="7">
        <v>57391</v>
      </c>
      <c r="K266" s="7">
        <v>196</v>
      </c>
      <c r="L266" s="4" t="s">
        <v>42</v>
      </c>
      <c r="M266" s="4" t="s">
        <v>18</v>
      </c>
      <c r="N266" s="16">
        <f t="shared" si="8"/>
        <v>4.5247823769763724E-2</v>
      </c>
      <c r="O266" s="8">
        <f t="shared" si="9"/>
        <v>265</v>
      </c>
    </row>
    <row r="267" spans="1:15" ht="15.75" customHeight="1" x14ac:dyDescent="0.3">
      <c r="A267" s="4" t="s">
        <v>333</v>
      </c>
      <c r="B267" s="4" t="s">
        <v>31</v>
      </c>
      <c r="C267" s="5">
        <v>45765</v>
      </c>
      <c r="D267" s="4" t="s">
        <v>57</v>
      </c>
      <c r="E267" s="6" t="s">
        <v>51</v>
      </c>
      <c r="F267" s="7">
        <v>1265</v>
      </c>
      <c r="G267" s="7">
        <v>230</v>
      </c>
      <c r="H267" s="7">
        <v>364</v>
      </c>
      <c r="I267" s="7">
        <v>41312</v>
      </c>
      <c r="J267" s="7">
        <v>50382</v>
      </c>
      <c r="K267" s="7">
        <v>106</v>
      </c>
      <c r="L267" s="4" t="s">
        <v>58</v>
      </c>
      <c r="M267" s="4" t="s">
        <v>59</v>
      </c>
      <c r="N267" s="16">
        <f t="shared" si="8"/>
        <v>4.4999031758326875E-2</v>
      </c>
      <c r="O267" s="8">
        <f t="shared" si="9"/>
        <v>266</v>
      </c>
    </row>
    <row r="268" spans="1:15" ht="15.75" customHeight="1" x14ac:dyDescent="0.3">
      <c r="A268" s="4" t="s">
        <v>126</v>
      </c>
      <c r="B268" s="4" t="s">
        <v>24</v>
      </c>
      <c r="C268" s="5">
        <v>45791</v>
      </c>
      <c r="D268" s="4" t="s">
        <v>25</v>
      </c>
      <c r="E268" s="6" t="s">
        <v>29</v>
      </c>
      <c r="F268" s="7">
        <v>1371</v>
      </c>
      <c r="G268" s="7">
        <v>139</v>
      </c>
      <c r="H268" s="7">
        <v>96</v>
      </c>
      <c r="I268" s="7">
        <v>36140</v>
      </c>
      <c r="J268" s="7">
        <v>39395</v>
      </c>
      <c r="K268" s="7">
        <v>169</v>
      </c>
      <c r="L268" s="4" t="s">
        <v>17</v>
      </c>
      <c r="M268" s="4" t="s">
        <v>18</v>
      </c>
      <c r="N268" s="16">
        <f t="shared" si="8"/>
        <v>4.4438295517432211E-2</v>
      </c>
      <c r="O268" s="8">
        <f t="shared" si="9"/>
        <v>267</v>
      </c>
    </row>
    <row r="269" spans="1:15" ht="15.75" customHeight="1" x14ac:dyDescent="0.3">
      <c r="A269" s="4" t="s">
        <v>74</v>
      </c>
      <c r="B269" s="4" t="s">
        <v>14</v>
      </c>
      <c r="C269" s="5">
        <v>45666</v>
      </c>
      <c r="D269" s="4" t="s">
        <v>15</v>
      </c>
      <c r="E269" s="6" t="s">
        <v>26</v>
      </c>
      <c r="F269" s="7">
        <v>1015</v>
      </c>
      <c r="G269" s="7">
        <v>366</v>
      </c>
      <c r="H269" s="7">
        <v>308</v>
      </c>
      <c r="I269" s="7">
        <v>38127</v>
      </c>
      <c r="J269" s="7">
        <v>63790</v>
      </c>
      <c r="K269" s="7">
        <v>287</v>
      </c>
      <c r="L269" s="4" t="s">
        <v>17</v>
      </c>
      <c r="M269" s="4" t="s">
        <v>18</v>
      </c>
      <c r="N269" s="16">
        <f t="shared" si="8"/>
        <v>4.4299315445747112E-2</v>
      </c>
      <c r="O269" s="8">
        <f t="shared" si="9"/>
        <v>268</v>
      </c>
    </row>
    <row r="270" spans="1:15" ht="15.75" customHeight="1" x14ac:dyDescent="0.3">
      <c r="A270" s="4" t="s">
        <v>291</v>
      </c>
      <c r="B270" s="4" t="s">
        <v>24</v>
      </c>
      <c r="C270" s="5">
        <v>45480</v>
      </c>
      <c r="D270" s="4" t="s">
        <v>15</v>
      </c>
      <c r="E270" s="6" t="s">
        <v>35</v>
      </c>
      <c r="F270" s="7">
        <v>1848</v>
      </c>
      <c r="G270" s="7">
        <v>417</v>
      </c>
      <c r="H270" s="7">
        <v>294</v>
      </c>
      <c r="I270" s="7">
        <v>57819</v>
      </c>
      <c r="J270" s="7">
        <v>19798</v>
      </c>
      <c r="K270" s="7">
        <v>262</v>
      </c>
      <c r="L270" s="4" t="s">
        <v>45</v>
      </c>
      <c r="M270" s="4" t="s">
        <v>22</v>
      </c>
      <c r="N270" s="16">
        <f t="shared" si="8"/>
        <v>4.4258807658382193E-2</v>
      </c>
      <c r="O270" s="8">
        <f t="shared" si="9"/>
        <v>269</v>
      </c>
    </row>
    <row r="271" spans="1:15" ht="15.75" customHeight="1" x14ac:dyDescent="0.3">
      <c r="A271" s="4" t="s">
        <v>102</v>
      </c>
      <c r="B271" s="4" t="s">
        <v>24</v>
      </c>
      <c r="C271" s="5">
        <v>45599</v>
      </c>
      <c r="D271" s="4" t="s">
        <v>25</v>
      </c>
      <c r="E271" s="6" t="s">
        <v>29</v>
      </c>
      <c r="F271" s="7">
        <v>1959</v>
      </c>
      <c r="G271" s="7">
        <v>316</v>
      </c>
      <c r="H271" s="7">
        <v>82</v>
      </c>
      <c r="I271" s="7">
        <v>54036</v>
      </c>
      <c r="J271" s="7">
        <v>69015</v>
      </c>
      <c r="K271" s="7">
        <v>182</v>
      </c>
      <c r="L271" s="4" t="s">
        <v>27</v>
      </c>
      <c r="M271" s="4" t="s">
        <v>18</v>
      </c>
      <c r="N271" s="16">
        <f t="shared" si="8"/>
        <v>4.3619068768968837E-2</v>
      </c>
      <c r="O271" s="8">
        <f t="shared" si="9"/>
        <v>270</v>
      </c>
    </row>
    <row r="272" spans="1:15" ht="15.75" customHeight="1" x14ac:dyDescent="0.3">
      <c r="A272" s="4" t="s">
        <v>61</v>
      </c>
      <c r="B272" s="4" t="s">
        <v>14</v>
      </c>
      <c r="C272" s="5">
        <v>45603</v>
      </c>
      <c r="D272" s="4" t="s">
        <v>25</v>
      </c>
      <c r="E272" s="6" t="s">
        <v>29</v>
      </c>
      <c r="F272" s="7">
        <v>1678</v>
      </c>
      <c r="G272" s="7">
        <v>423</v>
      </c>
      <c r="H272" s="7">
        <v>323</v>
      </c>
      <c r="I272" s="7">
        <v>55668</v>
      </c>
      <c r="J272" s="7">
        <v>37945</v>
      </c>
      <c r="K272" s="7">
        <v>230</v>
      </c>
      <c r="L272" s="4" t="s">
        <v>42</v>
      </c>
      <c r="M272" s="4" t="s">
        <v>55</v>
      </c>
      <c r="N272" s="16">
        <f t="shared" si="8"/>
        <v>4.3543867212761371E-2</v>
      </c>
      <c r="O272" s="8">
        <f t="shared" si="9"/>
        <v>271</v>
      </c>
    </row>
    <row r="273" spans="1:15" ht="15.75" customHeight="1" x14ac:dyDescent="0.3">
      <c r="A273" s="4" t="s">
        <v>221</v>
      </c>
      <c r="B273" s="4" t="s">
        <v>24</v>
      </c>
      <c r="C273" s="5">
        <v>45370</v>
      </c>
      <c r="D273" s="4" t="s">
        <v>15</v>
      </c>
      <c r="E273" s="6" t="s">
        <v>49</v>
      </c>
      <c r="F273" s="7">
        <v>2191</v>
      </c>
      <c r="G273" s="7">
        <v>288</v>
      </c>
      <c r="H273" s="7">
        <v>83</v>
      </c>
      <c r="I273" s="7">
        <v>59606</v>
      </c>
      <c r="J273" s="7">
        <v>24765</v>
      </c>
      <c r="K273" s="7">
        <v>281</v>
      </c>
      <c r="L273" s="4" t="s">
        <v>45</v>
      </c>
      <c r="M273" s="4" t="s">
        <v>22</v>
      </c>
      <c r="N273" s="16">
        <f t="shared" si="8"/>
        <v>4.2982250109049422E-2</v>
      </c>
      <c r="O273" s="8">
        <f t="shared" si="9"/>
        <v>272</v>
      </c>
    </row>
    <row r="274" spans="1:15" ht="15.75" customHeight="1" x14ac:dyDescent="0.3">
      <c r="A274" s="4" t="s">
        <v>158</v>
      </c>
      <c r="B274" s="4" t="s">
        <v>24</v>
      </c>
      <c r="C274" s="5">
        <v>45428</v>
      </c>
      <c r="D274" s="4" t="s">
        <v>25</v>
      </c>
      <c r="E274" s="6" t="s">
        <v>32</v>
      </c>
      <c r="F274" s="7">
        <v>2023</v>
      </c>
      <c r="G274" s="7">
        <v>124</v>
      </c>
      <c r="H274" s="7">
        <v>99</v>
      </c>
      <c r="I274" s="7">
        <v>54524</v>
      </c>
      <c r="J274" s="7">
        <v>34790</v>
      </c>
      <c r="K274" s="7">
        <v>195</v>
      </c>
      <c r="L274" s="4" t="s">
        <v>39</v>
      </c>
      <c r="M274" s="4" t="s">
        <v>18</v>
      </c>
      <c r="N274" s="16">
        <f t="shared" si="8"/>
        <v>4.1192869195216787E-2</v>
      </c>
      <c r="O274" s="8">
        <f t="shared" si="9"/>
        <v>273</v>
      </c>
    </row>
    <row r="275" spans="1:15" ht="15.75" customHeight="1" x14ac:dyDescent="0.3">
      <c r="A275" s="4" t="s">
        <v>114</v>
      </c>
      <c r="B275" s="4" t="s">
        <v>24</v>
      </c>
      <c r="C275" s="5">
        <v>45431</v>
      </c>
      <c r="D275" s="4" t="s">
        <v>25</v>
      </c>
      <c r="E275" s="6" t="s">
        <v>37</v>
      </c>
      <c r="F275" s="7">
        <v>1763</v>
      </c>
      <c r="G275" s="7">
        <v>206</v>
      </c>
      <c r="H275" s="7">
        <v>187</v>
      </c>
      <c r="I275" s="7">
        <v>53342</v>
      </c>
      <c r="J275" s="7">
        <v>25095</v>
      </c>
      <c r="K275" s="7">
        <v>88</v>
      </c>
      <c r="L275" s="4" t="s">
        <v>39</v>
      </c>
      <c r="M275" s="4" t="s">
        <v>18</v>
      </c>
      <c r="N275" s="16">
        <f t="shared" si="8"/>
        <v>4.0418432004799221E-2</v>
      </c>
      <c r="O275" s="8">
        <f t="shared" si="9"/>
        <v>274</v>
      </c>
    </row>
    <row r="276" spans="1:15" ht="15.75" customHeight="1" x14ac:dyDescent="0.3">
      <c r="A276" s="4" t="s">
        <v>252</v>
      </c>
      <c r="B276" s="4" t="s">
        <v>24</v>
      </c>
      <c r="C276" s="5">
        <v>45827</v>
      </c>
      <c r="D276" s="4" t="s">
        <v>25</v>
      </c>
      <c r="E276" s="6" t="s">
        <v>35</v>
      </c>
      <c r="F276" s="7">
        <v>1433</v>
      </c>
      <c r="G276" s="7">
        <v>452</v>
      </c>
      <c r="H276" s="7">
        <v>305</v>
      </c>
      <c r="I276" s="7">
        <v>54541</v>
      </c>
      <c r="J276" s="7">
        <v>63700</v>
      </c>
      <c r="K276" s="7">
        <v>296</v>
      </c>
      <c r="L276" s="4" t="s">
        <v>39</v>
      </c>
      <c r="M276" s="4" t="s">
        <v>18</v>
      </c>
      <c r="N276" s="16">
        <f t="shared" si="8"/>
        <v>4.0153279184466734E-2</v>
      </c>
      <c r="O276" s="8">
        <f t="shared" si="9"/>
        <v>275</v>
      </c>
    </row>
    <row r="277" spans="1:15" ht="15.75" customHeight="1" x14ac:dyDescent="0.3">
      <c r="A277" s="4" t="s">
        <v>84</v>
      </c>
      <c r="B277" s="4" t="s">
        <v>14</v>
      </c>
      <c r="C277" s="5">
        <v>45541</v>
      </c>
      <c r="D277" s="4" t="s">
        <v>15</v>
      </c>
      <c r="E277" s="6" t="s">
        <v>26</v>
      </c>
      <c r="F277" s="7">
        <v>1452</v>
      </c>
      <c r="G277" s="7">
        <v>281</v>
      </c>
      <c r="H277" s="7">
        <v>326</v>
      </c>
      <c r="I277" s="7">
        <v>51556</v>
      </c>
      <c r="J277" s="7">
        <v>62599</v>
      </c>
      <c r="K277" s="7">
        <v>290</v>
      </c>
      <c r="L277" s="4" t="s">
        <v>21</v>
      </c>
      <c r="M277" s="4" t="s">
        <v>22</v>
      </c>
      <c r="N277" s="16">
        <f t="shared" si="8"/>
        <v>3.9937155714174881E-2</v>
      </c>
      <c r="O277" s="8">
        <f t="shared" si="9"/>
        <v>276</v>
      </c>
    </row>
    <row r="278" spans="1:15" ht="15.75" customHeight="1" x14ac:dyDescent="0.3">
      <c r="A278" s="4" t="s">
        <v>79</v>
      </c>
      <c r="B278" s="4" t="s">
        <v>14</v>
      </c>
      <c r="C278" s="5">
        <v>45621</v>
      </c>
      <c r="D278" s="4" t="s">
        <v>15</v>
      </c>
      <c r="E278" s="6" t="s">
        <v>49</v>
      </c>
      <c r="F278" s="7">
        <v>1341</v>
      </c>
      <c r="G278" s="7">
        <v>472</v>
      </c>
      <c r="H278" s="7">
        <v>238</v>
      </c>
      <c r="I278" s="7">
        <v>51386</v>
      </c>
      <c r="J278" s="7">
        <v>51706</v>
      </c>
      <c r="K278" s="7">
        <v>133</v>
      </c>
      <c r="L278" s="4" t="s">
        <v>21</v>
      </c>
      <c r="M278" s="4" t="s">
        <v>22</v>
      </c>
      <c r="N278" s="16">
        <f t="shared" si="8"/>
        <v>3.9913595142645857E-2</v>
      </c>
      <c r="O278" s="8">
        <f t="shared" si="9"/>
        <v>277</v>
      </c>
    </row>
    <row r="279" spans="1:15" ht="15.75" customHeight="1" x14ac:dyDescent="0.3">
      <c r="A279" s="4" t="s">
        <v>153</v>
      </c>
      <c r="B279" s="4" t="s">
        <v>14</v>
      </c>
      <c r="C279" s="5">
        <v>45544</v>
      </c>
      <c r="D279" s="4" t="s">
        <v>15</v>
      </c>
      <c r="E279" s="6" t="s">
        <v>26</v>
      </c>
      <c r="F279" s="7">
        <v>1616</v>
      </c>
      <c r="G279" s="7">
        <v>360</v>
      </c>
      <c r="H279" s="7">
        <v>180</v>
      </c>
      <c r="I279" s="7">
        <v>54342</v>
      </c>
      <c r="J279" s="7">
        <v>18796</v>
      </c>
      <c r="K279" s="7">
        <v>282</v>
      </c>
      <c r="L279" s="4" t="s">
        <v>17</v>
      </c>
      <c r="M279" s="4" t="s">
        <v>18</v>
      </c>
      <c r="N279" s="16">
        <f t="shared" si="8"/>
        <v>3.9674653122814763E-2</v>
      </c>
      <c r="O279" s="8">
        <f t="shared" si="9"/>
        <v>278</v>
      </c>
    </row>
    <row r="280" spans="1:15" ht="15.75" customHeight="1" x14ac:dyDescent="0.3">
      <c r="A280" s="4" t="s">
        <v>248</v>
      </c>
      <c r="B280" s="4" t="s">
        <v>24</v>
      </c>
      <c r="C280" s="5">
        <v>45754</v>
      </c>
      <c r="D280" s="4" t="s">
        <v>15</v>
      </c>
      <c r="E280" s="6" t="s">
        <v>49</v>
      </c>
      <c r="F280" s="7">
        <v>1403</v>
      </c>
      <c r="G280" s="7">
        <v>385</v>
      </c>
      <c r="H280" s="7">
        <v>344</v>
      </c>
      <c r="I280" s="7">
        <v>54223</v>
      </c>
      <c r="J280" s="7">
        <v>72595</v>
      </c>
      <c r="K280" s="7">
        <v>239</v>
      </c>
      <c r="L280" s="4" t="s">
        <v>45</v>
      </c>
      <c r="M280" s="4" t="s">
        <v>22</v>
      </c>
      <c r="N280" s="16">
        <f t="shared" si="8"/>
        <v>3.9319108127547353E-2</v>
      </c>
      <c r="O280" s="8">
        <f t="shared" si="9"/>
        <v>279</v>
      </c>
    </row>
    <row r="281" spans="1:15" ht="15.75" customHeight="1" x14ac:dyDescent="0.3">
      <c r="A281" s="4" t="s">
        <v>78</v>
      </c>
      <c r="B281" s="4" t="s">
        <v>14</v>
      </c>
      <c r="C281" s="5">
        <v>45545</v>
      </c>
      <c r="D281" s="4" t="s">
        <v>25</v>
      </c>
      <c r="E281" s="6" t="s">
        <v>26</v>
      </c>
      <c r="F281" s="7">
        <v>1230</v>
      </c>
      <c r="G281" s="7">
        <v>309</v>
      </c>
      <c r="H281" s="7">
        <v>207</v>
      </c>
      <c r="I281" s="7">
        <v>44629</v>
      </c>
      <c r="J281" s="7">
        <v>40699</v>
      </c>
      <c r="K281" s="7">
        <v>195</v>
      </c>
      <c r="L281" s="4" t="s">
        <v>42</v>
      </c>
      <c r="M281" s="4" t="s">
        <v>55</v>
      </c>
      <c r="N281" s="16">
        <f t="shared" si="8"/>
        <v>3.9122543637545096E-2</v>
      </c>
      <c r="O281" s="8">
        <f t="shared" si="9"/>
        <v>280</v>
      </c>
    </row>
    <row r="282" spans="1:15" ht="15.75" customHeight="1" x14ac:dyDescent="0.3">
      <c r="A282" s="4" t="s">
        <v>196</v>
      </c>
      <c r="B282" s="4" t="s">
        <v>31</v>
      </c>
      <c r="C282" s="5">
        <v>45538</v>
      </c>
      <c r="D282" s="4" t="s">
        <v>57</v>
      </c>
      <c r="E282" s="6" t="s">
        <v>35</v>
      </c>
      <c r="F282" s="7">
        <v>1437</v>
      </c>
      <c r="G282" s="7">
        <v>494</v>
      </c>
      <c r="H282" s="7">
        <v>129</v>
      </c>
      <c r="I282" s="7">
        <v>53048</v>
      </c>
      <c r="J282" s="7">
        <v>44090</v>
      </c>
      <c r="K282" s="7">
        <v>230</v>
      </c>
      <c r="L282" s="4" t="s">
        <v>58</v>
      </c>
      <c r="M282" s="4" t="s">
        <v>59</v>
      </c>
      <c r="N282" s="16">
        <f t="shared" si="8"/>
        <v>3.8832755240536872E-2</v>
      </c>
      <c r="O282" s="8">
        <f t="shared" si="9"/>
        <v>281</v>
      </c>
    </row>
    <row r="283" spans="1:15" ht="15.75" customHeight="1" x14ac:dyDescent="0.3">
      <c r="A283" s="4" t="s">
        <v>103</v>
      </c>
      <c r="B283" s="4" t="s">
        <v>24</v>
      </c>
      <c r="C283" s="5">
        <v>45480</v>
      </c>
      <c r="D283" s="4" t="s">
        <v>15</v>
      </c>
      <c r="E283" s="6" t="s">
        <v>26</v>
      </c>
      <c r="F283" s="7">
        <v>1035</v>
      </c>
      <c r="G283" s="7">
        <v>137</v>
      </c>
      <c r="H283" s="7">
        <v>184</v>
      </c>
      <c r="I283" s="7">
        <v>37302</v>
      </c>
      <c r="J283" s="7">
        <v>68953</v>
      </c>
      <c r="K283" s="7">
        <v>237</v>
      </c>
      <c r="L283" s="4" t="s">
        <v>45</v>
      </c>
      <c r="M283" s="4" t="s">
        <v>22</v>
      </c>
      <c r="N283" s="16">
        <f t="shared" si="8"/>
        <v>3.6351938233874857E-2</v>
      </c>
      <c r="O283" s="8">
        <f t="shared" si="9"/>
        <v>282</v>
      </c>
    </row>
    <row r="284" spans="1:15" ht="15.75" customHeight="1" x14ac:dyDescent="0.3">
      <c r="A284" s="4" t="s">
        <v>162</v>
      </c>
      <c r="B284" s="4" t="s">
        <v>24</v>
      </c>
      <c r="C284" s="5">
        <v>45346</v>
      </c>
      <c r="D284" s="4" t="s">
        <v>25</v>
      </c>
      <c r="E284" s="6" t="s">
        <v>32</v>
      </c>
      <c r="F284" s="7">
        <v>1022</v>
      </c>
      <c r="G284" s="7">
        <v>463</v>
      </c>
      <c r="H284" s="7">
        <v>360</v>
      </c>
      <c r="I284" s="7">
        <v>51468</v>
      </c>
      <c r="J284" s="7">
        <v>24279</v>
      </c>
      <c r="K284" s="7">
        <v>230</v>
      </c>
      <c r="L284" s="4" t="s">
        <v>39</v>
      </c>
      <c r="M284" s="4" t="s">
        <v>18</v>
      </c>
      <c r="N284" s="16">
        <f t="shared" si="8"/>
        <v>3.5847516903707161E-2</v>
      </c>
      <c r="O284" s="8">
        <f t="shared" si="9"/>
        <v>283</v>
      </c>
    </row>
    <row r="285" spans="1:15" ht="15.75" customHeight="1" x14ac:dyDescent="0.3">
      <c r="A285" s="4" t="s">
        <v>237</v>
      </c>
      <c r="B285" s="4" t="s">
        <v>31</v>
      </c>
      <c r="C285" s="5">
        <v>45634</v>
      </c>
      <c r="D285" s="4" t="s">
        <v>15</v>
      </c>
      <c r="E285" s="6" t="s">
        <v>41</v>
      </c>
      <c r="F285" s="7">
        <v>1424</v>
      </c>
      <c r="G285" s="7">
        <v>396</v>
      </c>
      <c r="H285" s="7">
        <v>312</v>
      </c>
      <c r="I285" s="7">
        <v>59517</v>
      </c>
      <c r="J285" s="7">
        <v>46102</v>
      </c>
      <c r="K285" s="7">
        <v>239</v>
      </c>
      <c r="L285" s="4" t="s">
        <v>33</v>
      </c>
      <c r="M285" s="4" t="s">
        <v>22</v>
      </c>
      <c r="N285" s="16">
        <f t="shared" si="8"/>
        <v>3.5821698002251455E-2</v>
      </c>
      <c r="O285" s="8">
        <f t="shared" si="9"/>
        <v>284</v>
      </c>
    </row>
    <row r="286" spans="1:15" ht="15.75" customHeight="1" x14ac:dyDescent="0.3">
      <c r="A286" s="4" t="s">
        <v>105</v>
      </c>
      <c r="B286" s="4" t="s">
        <v>31</v>
      </c>
      <c r="C286" s="5">
        <v>45438</v>
      </c>
      <c r="D286" s="4" t="s">
        <v>15</v>
      </c>
      <c r="E286" s="6" t="s">
        <v>49</v>
      </c>
      <c r="F286" s="7">
        <v>1488</v>
      </c>
      <c r="G286" s="7">
        <v>327</v>
      </c>
      <c r="H286" s="7">
        <v>110</v>
      </c>
      <c r="I286" s="7">
        <v>53805</v>
      </c>
      <c r="J286" s="7">
        <v>30239</v>
      </c>
      <c r="K286" s="7">
        <v>109</v>
      </c>
      <c r="L286" s="4" t="s">
        <v>33</v>
      </c>
      <c r="M286" s="4" t="s">
        <v>22</v>
      </c>
      <c r="N286" s="16">
        <f t="shared" si="8"/>
        <v>3.5777344113000653E-2</v>
      </c>
      <c r="O286" s="8">
        <f t="shared" si="9"/>
        <v>285</v>
      </c>
    </row>
    <row r="287" spans="1:15" ht="15.75" customHeight="1" x14ac:dyDescent="0.3">
      <c r="A287" s="4" t="s">
        <v>204</v>
      </c>
      <c r="B287" s="4" t="s">
        <v>14</v>
      </c>
      <c r="C287" s="5">
        <v>45835</v>
      </c>
      <c r="D287" s="4" t="s">
        <v>25</v>
      </c>
      <c r="E287" s="6" t="s">
        <v>35</v>
      </c>
      <c r="F287" s="7">
        <v>1342</v>
      </c>
      <c r="G287" s="7">
        <v>332</v>
      </c>
      <c r="H287" s="7">
        <v>163</v>
      </c>
      <c r="I287" s="7">
        <v>51712</v>
      </c>
      <c r="J287" s="7">
        <v>57922</v>
      </c>
      <c r="K287" s="7">
        <v>168</v>
      </c>
      <c r="L287" s="4" t="s">
        <v>42</v>
      </c>
      <c r="M287" s="4" t="s">
        <v>55</v>
      </c>
      <c r="N287" s="16">
        <f t="shared" si="8"/>
        <v>3.5523669554455448E-2</v>
      </c>
      <c r="O287" s="8">
        <f t="shared" si="9"/>
        <v>286</v>
      </c>
    </row>
    <row r="288" spans="1:15" ht="15.75" customHeight="1" x14ac:dyDescent="0.3">
      <c r="A288" s="4" t="s">
        <v>238</v>
      </c>
      <c r="B288" s="4" t="s">
        <v>24</v>
      </c>
      <c r="C288" s="5">
        <v>45689</v>
      </c>
      <c r="D288" s="4" t="s">
        <v>25</v>
      </c>
      <c r="E288" s="6" t="s">
        <v>41</v>
      </c>
      <c r="F288" s="7">
        <v>1079</v>
      </c>
      <c r="G288" s="7">
        <v>265</v>
      </c>
      <c r="H288" s="7">
        <v>190</v>
      </c>
      <c r="I288" s="7">
        <v>43786</v>
      </c>
      <c r="J288" s="7">
        <v>72428</v>
      </c>
      <c r="K288" s="7">
        <v>222</v>
      </c>
      <c r="L288" s="4" t="s">
        <v>17</v>
      </c>
      <c r="M288" s="4" t="s">
        <v>18</v>
      </c>
      <c r="N288" s="16">
        <f t="shared" si="8"/>
        <v>3.5034029141734799E-2</v>
      </c>
      <c r="O288" s="8">
        <f t="shared" si="9"/>
        <v>287</v>
      </c>
    </row>
    <row r="289" spans="1:15" ht="15.75" customHeight="1" x14ac:dyDescent="0.3">
      <c r="A289" s="4" t="s">
        <v>157</v>
      </c>
      <c r="B289" s="4" t="s">
        <v>14</v>
      </c>
      <c r="C289" s="5">
        <v>45340</v>
      </c>
      <c r="D289" s="4" t="s">
        <v>25</v>
      </c>
      <c r="E289" s="6" t="s">
        <v>49</v>
      </c>
      <c r="F289" s="7">
        <v>1516</v>
      </c>
      <c r="G289" s="7">
        <v>215</v>
      </c>
      <c r="H289" s="7">
        <v>332</v>
      </c>
      <c r="I289" s="7">
        <v>58981</v>
      </c>
      <c r="J289" s="7">
        <v>36118</v>
      </c>
      <c r="K289" s="7">
        <v>211</v>
      </c>
      <c r="L289" s="4" t="s">
        <v>42</v>
      </c>
      <c r="M289" s="4" t="s">
        <v>55</v>
      </c>
      <c r="N289" s="16">
        <f t="shared" si="8"/>
        <v>3.4977365592309385E-2</v>
      </c>
      <c r="O289" s="8">
        <f t="shared" si="9"/>
        <v>288</v>
      </c>
    </row>
    <row r="290" spans="1:15" ht="15.75" customHeight="1" x14ac:dyDescent="0.3">
      <c r="A290" s="4" t="s">
        <v>167</v>
      </c>
      <c r="B290" s="4" t="s">
        <v>24</v>
      </c>
      <c r="C290" s="5">
        <v>45319</v>
      </c>
      <c r="D290" s="4" t="s">
        <v>15</v>
      </c>
      <c r="E290" s="6" t="s">
        <v>32</v>
      </c>
      <c r="F290" s="7">
        <v>1456</v>
      </c>
      <c r="G290" s="7">
        <v>265</v>
      </c>
      <c r="H290" s="7">
        <v>137</v>
      </c>
      <c r="I290" s="7">
        <v>53485</v>
      </c>
      <c r="J290" s="7">
        <v>59729</v>
      </c>
      <c r="K290" s="7">
        <v>145</v>
      </c>
      <c r="L290" s="4" t="s">
        <v>45</v>
      </c>
      <c r="M290" s="4" t="s">
        <v>22</v>
      </c>
      <c r="N290" s="16">
        <f t="shared" si="8"/>
        <v>3.4738711788351875E-2</v>
      </c>
      <c r="O290" s="8">
        <f t="shared" si="9"/>
        <v>289</v>
      </c>
    </row>
    <row r="291" spans="1:15" ht="15.75" customHeight="1" x14ac:dyDescent="0.3">
      <c r="A291" s="4" t="s">
        <v>325</v>
      </c>
      <c r="B291" s="4" t="s">
        <v>31</v>
      </c>
      <c r="C291" s="5">
        <v>45686</v>
      </c>
      <c r="D291" s="4" t="s">
        <v>15</v>
      </c>
      <c r="E291" s="6" t="s">
        <v>26</v>
      </c>
      <c r="F291" s="7">
        <v>1334</v>
      </c>
      <c r="G291" s="7">
        <v>357</v>
      </c>
      <c r="H291" s="7">
        <v>257</v>
      </c>
      <c r="I291" s="7">
        <v>56910</v>
      </c>
      <c r="J291" s="7">
        <v>70606</v>
      </c>
      <c r="K291" s="7">
        <v>228</v>
      </c>
      <c r="L291" s="4" t="s">
        <v>33</v>
      </c>
      <c r="M291" s="4" t="s">
        <v>22</v>
      </c>
      <c r="N291" s="16">
        <f t="shared" si="8"/>
        <v>3.4229485151994379E-2</v>
      </c>
      <c r="O291" s="8">
        <f t="shared" si="9"/>
        <v>290</v>
      </c>
    </row>
    <row r="292" spans="1:15" ht="15.75" customHeight="1" x14ac:dyDescent="0.3">
      <c r="A292" s="4" t="s">
        <v>250</v>
      </c>
      <c r="B292" s="4" t="s">
        <v>24</v>
      </c>
      <c r="C292" s="5">
        <v>45780</v>
      </c>
      <c r="D292" s="4" t="s">
        <v>25</v>
      </c>
      <c r="E292" s="6" t="s">
        <v>41</v>
      </c>
      <c r="F292" s="7">
        <v>1010</v>
      </c>
      <c r="G292" s="7">
        <v>361</v>
      </c>
      <c r="H292" s="7">
        <v>240</v>
      </c>
      <c r="I292" s="7">
        <v>47229</v>
      </c>
      <c r="J292" s="7">
        <v>72573</v>
      </c>
      <c r="K292" s="7">
        <v>275</v>
      </c>
      <c r="L292" s="4" t="s">
        <v>17</v>
      </c>
      <c r="M292" s="4" t="s">
        <v>18</v>
      </c>
      <c r="N292" s="16">
        <f t="shared" si="8"/>
        <v>3.4110398272247981E-2</v>
      </c>
      <c r="O292" s="8">
        <f t="shared" si="9"/>
        <v>291</v>
      </c>
    </row>
    <row r="293" spans="1:15" ht="15.75" customHeight="1" x14ac:dyDescent="0.3">
      <c r="A293" s="4" t="s">
        <v>298</v>
      </c>
      <c r="B293" s="4" t="s">
        <v>31</v>
      </c>
      <c r="C293" s="5">
        <v>45736</v>
      </c>
      <c r="D293" s="4" t="s">
        <v>57</v>
      </c>
      <c r="E293" s="6" t="s">
        <v>49</v>
      </c>
      <c r="F293" s="7">
        <v>1453</v>
      </c>
      <c r="G293" s="7">
        <v>156</v>
      </c>
      <c r="H293" s="7">
        <v>178</v>
      </c>
      <c r="I293" s="7">
        <v>52980</v>
      </c>
      <c r="J293" s="7">
        <v>57180</v>
      </c>
      <c r="K293" s="7">
        <v>286</v>
      </c>
      <c r="L293" s="4" t="s">
        <v>58</v>
      </c>
      <c r="M293" s="4" t="s">
        <v>59</v>
      </c>
      <c r="N293" s="16">
        <f t="shared" si="8"/>
        <v>3.3729709324273313E-2</v>
      </c>
      <c r="O293" s="8">
        <f t="shared" si="9"/>
        <v>292</v>
      </c>
    </row>
    <row r="294" spans="1:15" ht="15.75" customHeight="1" x14ac:dyDescent="0.3">
      <c r="A294" s="4" t="s">
        <v>310</v>
      </c>
      <c r="B294" s="4" t="s">
        <v>24</v>
      </c>
      <c r="C294" s="5">
        <v>45609</v>
      </c>
      <c r="D294" s="4" t="s">
        <v>25</v>
      </c>
      <c r="E294" s="6" t="s">
        <v>26</v>
      </c>
      <c r="F294" s="7">
        <v>1409</v>
      </c>
      <c r="G294" s="7">
        <v>466</v>
      </c>
      <c r="H294" s="7">
        <v>105</v>
      </c>
      <c r="I294" s="7">
        <v>58923</v>
      </c>
      <c r="J294" s="7">
        <v>38753</v>
      </c>
      <c r="K294" s="7">
        <v>265</v>
      </c>
      <c r="L294" s="4" t="s">
        <v>39</v>
      </c>
      <c r="M294" s="4" t="s">
        <v>18</v>
      </c>
      <c r="N294" s="16">
        <f t="shared" si="8"/>
        <v>3.3603177027646251E-2</v>
      </c>
      <c r="O294" s="8">
        <f t="shared" si="9"/>
        <v>293</v>
      </c>
    </row>
    <row r="295" spans="1:15" ht="15.75" customHeight="1" x14ac:dyDescent="0.3">
      <c r="A295" s="4" t="s">
        <v>334</v>
      </c>
      <c r="B295" s="4" t="s">
        <v>14</v>
      </c>
      <c r="C295" s="5">
        <v>45653</v>
      </c>
      <c r="D295" s="4" t="s">
        <v>15</v>
      </c>
      <c r="E295" s="6" t="s">
        <v>49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4" t="s">
        <v>21</v>
      </c>
      <c r="M295" s="4" t="s">
        <v>22</v>
      </c>
      <c r="N295" s="16">
        <f t="shared" si="8"/>
        <v>3.221173574066475E-2</v>
      </c>
      <c r="O295" s="8">
        <f t="shared" si="9"/>
        <v>294</v>
      </c>
    </row>
    <row r="296" spans="1:15" ht="15.75" customHeight="1" x14ac:dyDescent="0.3">
      <c r="A296" s="4" t="s">
        <v>268</v>
      </c>
      <c r="B296" s="4" t="s">
        <v>31</v>
      </c>
      <c r="C296" s="5">
        <v>45442</v>
      </c>
      <c r="D296" s="4" t="s">
        <v>57</v>
      </c>
      <c r="E296" s="6" t="s">
        <v>35</v>
      </c>
      <c r="F296" s="7">
        <v>1060</v>
      </c>
      <c r="G296" s="7">
        <v>442</v>
      </c>
      <c r="H296" s="7">
        <v>319</v>
      </c>
      <c r="I296" s="7">
        <v>57194</v>
      </c>
      <c r="J296" s="7">
        <v>24258</v>
      </c>
      <c r="K296" s="7">
        <v>101</v>
      </c>
      <c r="L296" s="4" t="s">
        <v>58</v>
      </c>
      <c r="M296" s="4" t="s">
        <v>59</v>
      </c>
      <c r="N296" s="16">
        <f t="shared" si="8"/>
        <v>3.1839004091338254E-2</v>
      </c>
      <c r="O296" s="8">
        <f t="shared" si="9"/>
        <v>295</v>
      </c>
    </row>
    <row r="297" spans="1:15" ht="15.75" customHeight="1" x14ac:dyDescent="0.3">
      <c r="A297" s="4" t="s">
        <v>251</v>
      </c>
      <c r="B297" s="4" t="s">
        <v>24</v>
      </c>
      <c r="C297" s="5">
        <v>45396</v>
      </c>
      <c r="D297" s="4" t="s">
        <v>25</v>
      </c>
      <c r="E297" s="6" t="s">
        <v>16</v>
      </c>
      <c r="F297" s="7">
        <v>1295</v>
      </c>
      <c r="G297" s="7">
        <v>153</v>
      </c>
      <c r="H297" s="7">
        <v>81</v>
      </c>
      <c r="I297" s="7">
        <v>48350</v>
      </c>
      <c r="J297" s="7">
        <v>61033</v>
      </c>
      <c r="K297" s="7">
        <v>232</v>
      </c>
      <c r="L297" s="4" t="s">
        <v>39</v>
      </c>
      <c r="M297" s="4" t="s">
        <v>18</v>
      </c>
      <c r="N297" s="16">
        <f t="shared" si="8"/>
        <v>3.1623578076525334E-2</v>
      </c>
      <c r="O297" s="8">
        <f t="shared" si="9"/>
        <v>296</v>
      </c>
    </row>
    <row r="298" spans="1:15" ht="15.75" customHeight="1" x14ac:dyDescent="0.3">
      <c r="A298" s="4" t="s">
        <v>263</v>
      </c>
      <c r="B298" s="4" t="s">
        <v>24</v>
      </c>
      <c r="C298" s="5">
        <v>45462</v>
      </c>
      <c r="D298" s="4" t="s">
        <v>15</v>
      </c>
      <c r="E298" s="6" t="s">
        <v>35</v>
      </c>
      <c r="F298" s="7">
        <v>1224</v>
      </c>
      <c r="G298" s="7">
        <v>168</v>
      </c>
      <c r="H298" s="7">
        <v>199</v>
      </c>
      <c r="I298" s="7">
        <v>54232</v>
      </c>
      <c r="J298" s="7">
        <v>52844</v>
      </c>
      <c r="K298" s="7">
        <v>271</v>
      </c>
      <c r="L298" s="4" t="s">
        <v>45</v>
      </c>
      <c r="M298" s="4" t="s">
        <v>22</v>
      </c>
      <c r="N298" s="16">
        <f t="shared" si="8"/>
        <v>2.9336922849977874E-2</v>
      </c>
      <c r="O298" s="8">
        <f t="shared" si="9"/>
        <v>297</v>
      </c>
    </row>
    <row r="299" spans="1:15" ht="15.75" customHeight="1" x14ac:dyDescent="0.3">
      <c r="A299" s="4" t="s">
        <v>170</v>
      </c>
      <c r="B299" s="4" t="s">
        <v>31</v>
      </c>
      <c r="C299" s="5">
        <v>45301</v>
      </c>
      <c r="D299" s="4" t="s">
        <v>15</v>
      </c>
      <c r="E299" s="6" t="s">
        <v>20</v>
      </c>
      <c r="F299" s="7">
        <v>1261</v>
      </c>
      <c r="G299" s="7">
        <v>190</v>
      </c>
      <c r="H299" s="7">
        <v>233</v>
      </c>
      <c r="I299" s="7">
        <v>59888</v>
      </c>
      <c r="J299" s="7">
        <v>51449</v>
      </c>
      <c r="K299" s="7">
        <v>205</v>
      </c>
      <c r="L299" s="4" t="s">
        <v>33</v>
      </c>
      <c r="M299" s="4" t="s">
        <v>22</v>
      </c>
      <c r="N299" s="16">
        <f t="shared" si="8"/>
        <v>2.811915575741384E-2</v>
      </c>
      <c r="O299" s="8">
        <f t="shared" si="9"/>
        <v>298</v>
      </c>
    </row>
    <row r="300" spans="1:15" ht="15.75" customHeight="1" x14ac:dyDescent="0.3">
      <c r="A300" s="4" t="s">
        <v>178</v>
      </c>
      <c r="B300" s="4" t="s">
        <v>24</v>
      </c>
      <c r="C300" s="5">
        <v>45624</v>
      </c>
      <c r="D300" s="4" t="s">
        <v>25</v>
      </c>
      <c r="E300" s="6" t="s">
        <v>26</v>
      </c>
      <c r="F300" s="7">
        <v>1131</v>
      </c>
      <c r="G300" s="7">
        <v>100</v>
      </c>
      <c r="H300" s="7">
        <v>116</v>
      </c>
      <c r="I300" s="7">
        <v>48437</v>
      </c>
      <c r="J300" s="7">
        <v>72704</v>
      </c>
      <c r="K300" s="7">
        <v>236</v>
      </c>
      <c r="L300" s="4" t="s">
        <v>39</v>
      </c>
      <c r="M300" s="4" t="s">
        <v>18</v>
      </c>
      <c r="N300" s="16">
        <f t="shared" si="8"/>
        <v>2.7809319322005904E-2</v>
      </c>
      <c r="O300" s="8">
        <f t="shared" si="9"/>
        <v>299</v>
      </c>
    </row>
    <row r="301" spans="1:15" ht="15.75" customHeight="1" x14ac:dyDescent="0.3">
      <c r="A301" s="4" t="s">
        <v>99</v>
      </c>
      <c r="B301" s="4" t="s">
        <v>31</v>
      </c>
      <c r="C301" s="5">
        <v>45514</v>
      </c>
      <c r="D301" s="4" t="s">
        <v>15</v>
      </c>
      <c r="E301" s="6" t="s">
        <v>49</v>
      </c>
      <c r="F301" s="7">
        <v>1105</v>
      </c>
      <c r="G301" s="7">
        <v>181</v>
      </c>
      <c r="H301" s="7">
        <v>55</v>
      </c>
      <c r="I301" s="7">
        <v>53581</v>
      </c>
      <c r="J301" s="7">
        <v>74048</v>
      </c>
      <c r="K301" s="7">
        <v>220</v>
      </c>
      <c r="L301" s="4" t="s">
        <v>33</v>
      </c>
      <c r="M301" s="4" t="s">
        <v>22</v>
      </c>
      <c r="N301" s="16">
        <f t="shared" si="8"/>
        <v>2.50275284149232E-2</v>
      </c>
      <c r="O301" s="8">
        <f t="shared" si="9"/>
        <v>300</v>
      </c>
    </row>
    <row r="302" spans="1:15" ht="15.75" customHeight="1" x14ac:dyDescent="0.3"/>
    <row r="303" spans="1:15" ht="15.75" customHeight="1" x14ac:dyDescent="0.3"/>
    <row r="304" spans="1:15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2:N1000">
    <sortCondition descending="1" ref="N1:N1000"/>
  </sortState>
  <conditionalFormatting sqref="A2:O301">
    <cfRule type="expression" dxfId="1" priority="1">
      <formula>AND($O2&lt;=10,$O2&gt;=1)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F779-2495-44EF-88F5-378973E8BD63}">
  <dimension ref="B2:L15"/>
  <sheetViews>
    <sheetView tabSelected="1" workbookViewId="0">
      <selection activeCell="K6" sqref="K6"/>
    </sheetView>
  </sheetViews>
  <sheetFormatPr defaultRowHeight="14.4" x14ac:dyDescent="0.3"/>
  <cols>
    <col min="1" max="1" width="6.5546875" customWidth="1"/>
    <col min="2" max="2" width="12.5546875" bestFit="1" customWidth="1"/>
    <col min="3" max="3" width="11.5546875" bestFit="1" customWidth="1"/>
    <col min="4" max="4" width="13.109375" bestFit="1" customWidth="1"/>
    <col min="5" max="5" width="16.6640625" bestFit="1" customWidth="1"/>
    <col min="6" max="6" width="4.33203125" customWidth="1"/>
    <col min="7" max="7" width="41.21875" bestFit="1" customWidth="1"/>
    <col min="8" max="8" width="15.33203125" bestFit="1" customWidth="1"/>
    <col min="9" max="9" width="4.5546875" customWidth="1"/>
    <col min="10" max="10" width="32" bestFit="1" customWidth="1"/>
    <col min="11" max="11" width="22.109375" customWidth="1"/>
    <col min="12" max="12" width="22" customWidth="1"/>
    <col min="13" max="13" width="12" bestFit="1" customWidth="1"/>
    <col min="14" max="14" width="16.77734375" bestFit="1" customWidth="1"/>
    <col min="15" max="15" width="28.6640625" bestFit="1" customWidth="1"/>
    <col min="16" max="16" width="10.77734375" bestFit="1" customWidth="1"/>
  </cols>
  <sheetData>
    <row r="2" spans="2:12" x14ac:dyDescent="0.3">
      <c r="B2" s="18" t="s">
        <v>347</v>
      </c>
      <c r="C2" s="18"/>
      <c r="D2" s="18"/>
      <c r="E2" s="18"/>
      <c r="G2" s="19" t="s">
        <v>349</v>
      </c>
      <c r="H2" s="19"/>
      <c r="J2" s="20" t="s">
        <v>352</v>
      </c>
      <c r="K2" s="20"/>
      <c r="L2" s="20"/>
    </row>
    <row r="4" spans="2:12" x14ac:dyDescent="0.3">
      <c r="B4" s="12" t="s">
        <v>342</v>
      </c>
      <c r="C4" t="s">
        <v>344</v>
      </c>
      <c r="D4" t="s">
        <v>345</v>
      </c>
      <c r="E4" t="s">
        <v>346</v>
      </c>
      <c r="G4" s="12" t="s">
        <v>342</v>
      </c>
      <c r="H4" t="s">
        <v>348</v>
      </c>
      <c r="J4" s="12" t="s">
        <v>342</v>
      </c>
      <c r="K4" t="s">
        <v>351</v>
      </c>
      <c r="L4" t="s">
        <v>353</v>
      </c>
    </row>
    <row r="5" spans="2:12" x14ac:dyDescent="0.3">
      <c r="B5" s="13" t="s">
        <v>14</v>
      </c>
      <c r="C5" s="8">
        <v>251473</v>
      </c>
      <c r="D5" s="8">
        <v>29285</v>
      </c>
      <c r="E5" s="8">
        <v>20818</v>
      </c>
      <c r="F5" s="17"/>
      <c r="G5" s="13" t="s">
        <v>16</v>
      </c>
      <c r="H5" s="8">
        <v>188.14285714285714</v>
      </c>
      <c r="J5" s="13" t="s">
        <v>42</v>
      </c>
      <c r="K5" s="3">
        <v>5.666695683499956</v>
      </c>
      <c r="L5">
        <v>1</v>
      </c>
    </row>
    <row r="6" spans="2:12" x14ac:dyDescent="0.3">
      <c r="B6" s="14" t="s">
        <v>25</v>
      </c>
      <c r="C6" s="8">
        <v>61815</v>
      </c>
      <c r="D6" s="8">
        <v>7993</v>
      </c>
      <c r="E6" s="8">
        <v>5656</v>
      </c>
      <c r="F6" s="17"/>
      <c r="G6" s="13" t="s">
        <v>20</v>
      </c>
      <c r="H6" s="8">
        <v>183.07894736842104</v>
      </c>
      <c r="J6" s="13" t="s">
        <v>17</v>
      </c>
      <c r="K6" s="3">
        <v>5.3211373322630431</v>
      </c>
      <c r="L6">
        <v>2</v>
      </c>
    </row>
    <row r="7" spans="2:12" x14ac:dyDescent="0.3">
      <c r="B7" s="14" t="s">
        <v>15</v>
      </c>
      <c r="C7" s="8">
        <v>189658</v>
      </c>
      <c r="D7" s="8">
        <v>21292</v>
      </c>
      <c r="E7" s="8">
        <v>15162</v>
      </c>
      <c r="F7" s="17"/>
      <c r="G7" s="13" t="s">
        <v>49</v>
      </c>
      <c r="H7" s="8">
        <v>187.41176470588235</v>
      </c>
      <c r="J7" s="13" t="s">
        <v>27</v>
      </c>
      <c r="K7" s="3">
        <v>3.1073096307820331</v>
      </c>
      <c r="L7">
        <v>3</v>
      </c>
    </row>
    <row r="8" spans="2:12" x14ac:dyDescent="0.3">
      <c r="B8" s="13" t="s">
        <v>24</v>
      </c>
      <c r="C8" s="8">
        <v>450295</v>
      </c>
      <c r="D8" s="8">
        <v>45498</v>
      </c>
      <c r="E8" s="8">
        <v>31577</v>
      </c>
      <c r="F8" s="17"/>
      <c r="G8" s="13" t="s">
        <v>37</v>
      </c>
      <c r="H8" s="8">
        <v>193.66666666666666</v>
      </c>
      <c r="J8" s="13" t="s">
        <v>21</v>
      </c>
      <c r="K8" s="3">
        <v>2.9785114033230697</v>
      </c>
      <c r="L8">
        <v>4</v>
      </c>
    </row>
    <row r="9" spans="2:12" x14ac:dyDescent="0.3">
      <c r="B9" s="14" t="s">
        <v>25</v>
      </c>
      <c r="C9" s="8">
        <v>272103</v>
      </c>
      <c r="D9" s="8">
        <v>26494</v>
      </c>
      <c r="E9" s="8">
        <v>18442</v>
      </c>
      <c r="F9" s="17"/>
      <c r="G9" s="13" t="s">
        <v>32</v>
      </c>
      <c r="H9" s="8">
        <v>200.66666666666666</v>
      </c>
      <c r="J9" s="13" t="s">
        <v>33</v>
      </c>
      <c r="K9" s="3">
        <v>2.9377119039849755</v>
      </c>
      <c r="L9">
        <v>5</v>
      </c>
    </row>
    <row r="10" spans="2:12" x14ac:dyDescent="0.3">
      <c r="B10" s="14" t="s">
        <v>15</v>
      </c>
      <c r="C10" s="8">
        <v>178192</v>
      </c>
      <c r="D10" s="8">
        <v>19004</v>
      </c>
      <c r="E10" s="8">
        <v>13135</v>
      </c>
      <c r="F10" s="17"/>
      <c r="G10" s="13" t="s">
        <v>26</v>
      </c>
      <c r="H10" s="8">
        <v>217.97435897435898</v>
      </c>
      <c r="J10" s="13" t="s">
        <v>39</v>
      </c>
      <c r="K10" s="3">
        <v>2.8595394768357263</v>
      </c>
      <c r="L10">
        <v>6</v>
      </c>
    </row>
    <row r="11" spans="2:12" x14ac:dyDescent="0.3">
      <c r="B11" s="13" t="s">
        <v>31</v>
      </c>
      <c r="C11" s="8">
        <v>195407</v>
      </c>
      <c r="D11" s="8">
        <v>18618</v>
      </c>
      <c r="E11" s="8">
        <v>14671</v>
      </c>
      <c r="F11" s="17"/>
      <c r="G11" s="13" t="s">
        <v>41</v>
      </c>
      <c r="H11" s="8">
        <v>196.34615384615384</v>
      </c>
      <c r="J11" s="13" t="s">
        <v>58</v>
      </c>
      <c r="K11" s="3">
        <v>2.6130995645159714</v>
      </c>
      <c r="L11">
        <v>7</v>
      </c>
    </row>
    <row r="12" spans="2:12" x14ac:dyDescent="0.3">
      <c r="B12" s="14" t="s">
        <v>57</v>
      </c>
      <c r="C12" s="8">
        <v>89871</v>
      </c>
      <c r="D12" s="8">
        <v>9086</v>
      </c>
      <c r="E12" s="8">
        <v>6826</v>
      </c>
      <c r="F12" s="17"/>
      <c r="G12" s="13" t="s">
        <v>35</v>
      </c>
      <c r="H12" s="8">
        <v>176.75</v>
      </c>
      <c r="J12" s="13" t="s">
        <v>45</v>
      </c>
      <c r="K12" s="3">
        <v>2.3606681228662616</v>
      </c>
      <c r="L12">
        <v>8</v>
      </c>
    </row>
    <row r="13" spans="2:12" x14ac:dyDescent="0.3">
      <c r="B13" s="14" t="s">
        <v>15</v>
      </c>
      <c r="C13" s="8">
        <v>105536</v>
      </c>
      <c r="D13" s="8">
        <v>9532</v>
      </c>
      <c r="E13" s="8">
        <v>7845</v>
      </c>
      <c r="F13" s="17"/>
      <c r="G13" s="13" t="s">
        <v>29</v>
      </c>
      <c r="H13" s="8">
        <v>191.61764705882354</v>
      </c>
      <c r="J13" s="13" t="s">
        <v>343</v>
      </c>
      <c r="K13" s="3">
        <v>27.844673118071039</v>
      </c>
    </row>
    <row r="14" spans="2:12" x14ac:dyDescent="0.3">
      <c r="B14" s="13" t="s">
        <v>343</v>
      </c>
      <c r="C14" s="8">
        <v>897175</v>
      </c>
      <c r="D14" s="8">
        <v>93401</v>
      </c>
      <c r="E14" s="8">
        <v>67066</v>
      </c>
      <c r="F14" s="17"/>
      <c r="G14" s="13" t="s">
        <v>51</v>
      </c>
      <c r="H14" s="8">
        <v>174.63636363636363</v>
      </c>
    </row>
    <row r="15" spans="2:12" x14ac:dyDescent="0.3">
      <c r="G15" s="13" t="s">
        <v>343</v>
      </c>
      <c r="H15" s="8">
        <v>191.98666666666668</v>
      </c>
    </row>
  </sheetData>
  <mergeCells count="3">
    <mergeCell ref="B2:E2"/>
    <mergeCell ref="G2:H2"/>
    <mergeCell ref="J2:L2"/>
  </mergeCells>
  <conditionalFormatting sqref="J5:L12">
    <cfRule type="expression" dxfId="0" priority="1">
      <formula>AND($L5&lt;=3,$L5&gt;=1)</formula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2</vt:lpstr>
      <vt:lpstr>Task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yevate</cp:lastModifiedBy>
  <dcterms:modified xsi:type="dcterms:W3CDTF">2026-02-24T09:48:01Z</dcterms:modified>
</cp:coreProperties>
</file>