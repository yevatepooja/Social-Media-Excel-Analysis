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fba5b1fa799382c/Desktop/Excel Project/"/>
    </mc:Choice>
  </mc:AlternateContent>
  <xr:revisionPtr revIDLastSave="378" documentId="11_E4B3978DCEABCEDF4386E6969182B7DC8A708D61" xr6:coauthVersionLast="47" xr6:coauthVersionMax="47" xr10:uidLastSave="{148F74A5-71C7-4A71-A1B7-A9708821207A}"/>
  <bookViews>
    <workbookView xWindow="84" yWindow="0" windowWidth="22956" windowHeight="12240" activeTab="2" xr2:uid="{00000000-000D-0000-FFFF-FFFF00000000}"/>
  </bookViews>
  <sheets>
    <sheet name="highest net follower gain " sheetId="4" r:id="rId1"/>
    <sheet name="Moving average" sheetId="5" r:id="rId2"/>
    <sheet name="Ad Spend vs. Follower Growth" sheetId="7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J90" i="7" l="1"/>
  <c r="J21" i="7"/>
  <c r="J11" i="7"/>
  <c r="J71" i="7"/>
  <c r="J80" i="7"/>
  <c r="J91" i="7"/>
  <c r="J53" i="7"/>
  <c r="J5" i="7"/>
  <c r="J149" i="7"/>
  <c r="J85" i="7"/>
  <c r="J197" i="7"/>
  <c r="J106" i="7"/>
  <c r="J186" i="7"/>
  <c r="J144" i="7"/>
  <c r="J122" i="7"/>
  <c r="J181" i="7"/>
  <c r="J112" i="7"/>
  <c r="J74" i="7"/>
  <c r="J160" i="7"/>
  <c r="J138" i="7"/>
  <c r="J66" i="7"/>
  <c r="J18" i="7"/>
  <c r="J183" i="7"/>
  <c r="J135" i="7"/>
  <c r="J50" i="7"/>
  <c r="J2" i="7"/>
  <c r="J151" i="7"/>
  <c r="J82" i="7"/>
  <c r="J34" i="7"/>
  <c r="J199" i="7"/>
  <c r="J167" i="7"/>
  <c r="J119" i="7"/>
  <c r="J187" i="7"/>
  <c r="J171" i="7"/>
  <c r="J155" i="7"/>
  <c r="J139" i="7"/>
  <c r="J123" i="7"/>
  <c r="J7" i="7"/>
  <c r="J96" i="7"/>
  <c r="J58" i="7"/>
  <c r="J107" i="7"/>
  <c r="J165" i="7"/>
  <c r="J176" i="7"/>
  <c r="J20" i="7"/>
  <c r="J133" i="7"/>
  <c r="J101" i="7"/>
  <c r="J192" i="7"/>
  <c r="J170" i="7"/>
  <c r="J103" i="7"/>
  <c r="J55" i="7"/>
  <c r="J75" i="7"/>
  <c r="J27" i="7"/>
  <c r="J117" i="7"/>
  <c r="J87" i="7"/>
  <c r="J10" i="7"/>
  <c r="J39" i="7"/>
  <c r="J154" i="7"/>
  <c r="J191" i="7"/>
  <c r="J42" i="7"/>
  <c r="J32" i="7"/>
  <c r="J23" i="7"/>
  <c r="J43" i="7"/>
  <c r="J64" i="7"/>
  <c r="J26" i="7"/>
  <c r="J16" i="7"/>
  <c r="J37" i="7"/>
  <c r="J128" i="7"/>
  <c r="J189" i="7"/>
  <c r="J48" i="7"/>
  <c r="J69" i="7"/>
  <c r="J59" i="7"/>
  <c r="J6" i="7"/>
  <c r="J22" i="7"/>
  <c r="J38" i="7"/>
  <c r="J54" i="7"/>
  <c r="J70" i="7"/>
  <c r="J86" i="7"/>
  <c r="J102" i="7"/>
  <c r="J118" i="7"/>
  <c r="J134" i="7"/>
  <c r="J150" i="7"/>
  <c r="J166" i="7"/>
  <c r="J182" i="7"/>
  <c r="J198" i="7"/>
  <c r="J17" i="7"/>
  <c r="J33" i="7"/>
  <c r="J49" i="7"/>
  <c r="J65" i="7"/>
  <c r="J81" i="7"/>
  <c r="J97" i="7"/>
  <c r="J113" i="7"/>
  <c r="J129" i="7"/>
  <c r="J145" i="7"/>
  <c r="J161" i="7"/>
  <c r="J177" i="7"/>
  <c r="J193" i="7"/>
  <c r="J12" i="7"/>
  <c r="J28" i="7"/>
  <c r="J44" i="7"/>
  <c r="J60" i="7"/>
  <c r="J76" i="7"/>
  <c r="J92" i="7"/>
  <c r="J108" i="7"/>
  <c r="J124" i="7"/>
  <c r="J140" i="7"/>
  <c r="J156" i="7"/>
  <c r="J172" i="7"/>
  <c r="J188" i="7"/>
  <c r="J114" i="7"/>
  <c r="J146" i="7"/>
  <c r="J194" i="7"/>
  <c r="J29" i="7"/>
  <c r="J61" i="7"/>
  <c r="J109" i="7"/>
  <c r="J141" i="7"/>
  <c r="J173" i="7"/>
  <c r="J24" i="7"/>
  <c r="J72" i="7"/>
  <c r="J104" i="7"/>
  <c r="J136" i="7"/>
  <c r="J168" i="7"/>
  <c r="J3" i="7"/>
  <c r="J19" i="7"/>
  <c r="J67" i="7"/>
  <c r="J99" i="7"/>
  <c r="J131" i="7"/>
  <c r="J179" i="7"/>
  <c r="J30" i="7"/>
  <c r="J78" i="7"/>
  <c r="J110" i="7"/>
  <c r="J158" i="7"/>
  <c r="J190" i="7"/>
  <c r="J9" i="7"/>
  <c r="J25" i="7"/>
  <c r="J41" i="7"/>
  <c r="J57" i="7"/>
  <c r="J73" i="7"/>
  <c r="J89" i="7"/>
  <c r="J105" i="7"/>
  <c r="J121" i="7"/>
  <c r="J137" i="7"/>
  <c r="J153" i="7"/>
  <c r="J169" i="7"/>
  <c r="J185" i="7"/>
  <c r="J201" i="7"/>
  <c r="J162" i="7"/>
  <c r="J93" i="7"/>
  <c r="J8" i="7"/>
  <c r="J56" i="7"/>
  <c r="J152" i="7"/>
  <c r="J51" i="7"/>
  <c r="J163" i="7"/>
  <c r="J14" i="7"/>
  <c r="J62" i="7"/>
  <c r="J126" i="7"/>
  <c r="J4" i="7"/>
  <c r="J36" i="7"/>
  <c r="J52" i="7"/>
  <c r="J68" i="7"/>
  <c r="J84" i="7"/>
  <c r="J100" i="7"/>
  <c r="J116" i="7"/>
  <c r="J132" i="7"/>
  <c r="J148" i="7"/>
  <c r="J164" i="7"/>
  <c r="J180" i="7"/>
  <c r="J196" i="7"/>
  <c r="J98" i="7"/>
  <c r="J130" i="7"/>
  <c r="J178" i="7"/>
  <c r="J13" i="7"/>
  <c r="J45" i="7"/>
  <c r="J77" i="7"/>
  <c r="J125" i="7"/>
  <c r="J157" i="7"/>
  <c r="J40" i="7"/>
  <c r="J88" i="7"/>
  <c r="J120" i="7"/>
  <c r="J184" i="7"/>
  <c r="J200" i="7"/>
  <c r="J35" i="7"/>
  <c r="J83" i="7"/>
  <c r="J115" i="7"/>
  <c r="J147" i="7"/>
  <c r="J195" i="7"/>
  <c r="J46" i="7"/>
  <c r="J94" i="7"/>
  <c r="J142" i="7"/>
  <c r="J174" i="7"/>
  <c r="J15" i="7"/>
  <c r="J31" i="7"/>
  <c r="J47" i="7"/>
  <c r="J63" i="7"/>
  <c r="J79" i="7"/>
  <c r="J95" i="7"/>
  <c r="J111" i="7"/>
  <c r="J127" i="7"/>
  <c r="J143" i="7"/>
  <c r="J159" i="7"/>
  <c r="J175" i="7"/>
</calcChain>
</file>

<file path=xl/sharedStrings.xml><?xml version="1.0" encoding="utf-8"?>
<sst xmlns="http://schemas.openxmlformats.org/spreadsheetml/2006/main" count="352" uniqueCount="85">
  <si>
    <t>Platform</t>
  </si>
  <si>
    <t>Instagram</t>
  </si>
  <si>
    <t>Twitter</t>
  </si>
  <si>
    <t>YouTube</t>
  </si>
  <si>
    <t>Week_Start_Date</t>
  </si>
  <si>
    <t>New_Followers</t>
  </si>
  <si>
    <t>Unfollows</t>
  </si>
  <si>
    <t>Total_Followers</t>
  </si>
  <si>
    <t>Engagement_Rate</t>
  </si>
  <si>
    <t>Ad_Spend</t>
  </si>
  <si>
    <t>Net Follower Gain</t>
  </si>
  <si>
    <t>Sum of Net Follower Gain</t>
  </si>
  <si>
    <t>Row Labels</t>
  </si>
  <si>
    <t>Grand Total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</si>
  <si>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</si>
  <si>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</si>
  <si>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</si>
  <si>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</si>
  <si>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</si>
  <si>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</si>
  <si>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</si>
  <si>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</si>
  <si>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</si>
  <si>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</si>
  <si>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</si>
  <si>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</si>
  <si>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</si>
  <si>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</si>
  <si>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</si>
  <si>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</si>
  <si>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</si>
  <si>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</si>
  <si>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</si>
  <si>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</si>
  <si>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</si>
  <si>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</si>
  <si>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</si>
  <si>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</si>
  <si>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</si>
  <si>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</si>
  <si>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</si>
  <si>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</si>
  <si>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</si>
  <si>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</si>
  <si>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</si>
  <si>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</si>
  <si>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</si>
  <si>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</si>
  <si>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</si>
  <si>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</si>
  <si>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</si>
  <si>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</si>
  <si>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</si>
  <si>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</si>
  <si>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</si>
  <si>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</si>
  <si>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</si>
  <si>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</si>
  <si>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</si>
  <si>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</si>
  <si>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</si>
  <si>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</si>
  <si>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</si>
  <si>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12-05-2025 - 18-05-2025</t>
  </si>
  <si>
    <t>19-05-2025 - 25-05-2025</t>
  </si>
  <si>
    <t>26-05-2025 - 01-06-2025</t>
  </si>
  <si>
    <t>02-06-2025 - 08-06-2025</t>
  </si>
  <si>
    <t>09-06-2025 - 15-06-2025</t>
  </si>
  <si>
    <t>16-06-2025 - 22-06-2025</t>
  </si>
  <si>
    <t>23-06-2025 - 29-06-2025</t>
  </si>
  <si>
    <t>30-06-2025 - 06-07-2025</t>
  </si>
  <si>
    <t>07-07-2025 - 13-07-2025</t>
  </si>
  <si>
    <t>14-07-2025 - 20-07-2025</t>
  </si>
  <si>
    <t>21-07-2025 - 27-07-2025</t>
  </si>
  <si>
    <t>28-07-2025 - 03-08-2025</t>
  </si>
  <si>
    <t>04-08-2025 - 10-08-2025</t>
  </si>
  <si>
    <t>11-08-2025 - 17-08-2025</t>
  </si>
  <si>
    <t>18-08-2025 - 24-08-2025</t>
  </si>
  <si>
    <t>25-08-2025 - 31-08-2025</t>
  </si>
  <si>
    <t>01-09-2025 - 07-09-2025</t>
  </si>
  <si>
    <t>08-09-2025 - 09-09-2025</t>
  </si>
  <si>
    <t>3 weeks Moving Average</t>
  </si>
  <si>
    <t>Sum of 3 weeks Moving Average</t>
  </si>
  <si>
    <t>correlation</t>
  </si>
  <si>
    <t>Correlation between Ad Spend vs. 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</si>
</sst>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1" fillId="0" borderId="0" xfId="0" applyNumberFormat="1" applyFont="1"/>
    <xf numFmtId="14" fontId="2" fillId="0" borderId="0" xfId="0" applyNumberFormat="1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3" fillId="0" borderId="0" xfId="0" applyNumberFormat="1" applyFont="1"/>
    <xf numFmtId="164" fontId="1" fillId="0" borderId="0" xfId="0" applyNumberFormat="1" applyFont="1"/>
    <xf numFmtId="0" fontId="0" fillId="3" borderId="0" xfId="0" applyFill="1" applyAlignment="1">
      <alignment horizontal="left"/>
    </xf>
    <xf numFmtId="1" fontId="0" fillId="3" borderId="0" xfId="0" applyNumberFormat="1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Follower Retention ^0 Loyalty.xlsx]highest net follower gain !PivotTable6</c:name>
    <c:fmtId val="0"/>
  </c:pivotSource>
  <c:chart>
    <c:autoTitleDeleted val="1"/>
    <c:pivotFmts>
      <c:pivotFmt>
        <c:idx val="0"/>
        <c:spPr>
          <a:ln w="22225" cap="rnd">
            <a:solidFill>
              <a:srgbClr val="C00000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rgbClr val="C00000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41275">
              <a:solidFill>
                <a:srgbClr val="FFFF00"/>
              </a:solidFill>
              <a:round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'highest net follower gain '!$C$2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Pt>
            <c:idx val="13"/>
            <c:marker>
              <c:symbol val="diamond"/>
              <c:size val="6"/>
              <c:spPr>
                <a:solidFill>
                  <a:schemeClr val="accent1"/>
                </a:solidFill>
                <a:ln w="41275">
                  <a:solidFill>
                    <a:srgbClr val="FFFF00"/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6E4-47AF-B0BD-94E5439F2CE5}"/>
              </c:ext>
            </c:extLst>
          </c:dPt>
          <c:cat>
            <c:strRef>
              <c:f>'highest net follower gain '!$B$3:$B$70</c:f>
              <c:strCache>
                <c:ptCount val="6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12-05-2025 - 18-05-2025</c:v>
                </c:pt>
                <c:pt idx="50">
                  <c:v>19-05-2025 - 25-05-2025</c:v>
                </c:pt>
                <c:pt idx="51">
                  <c:v>26-05-2025 - 01-06-2025</c:v>
                </c:pt>
                <c:pt idx="52">
                  <c:v>02-06-2025 - 08-06-2025</c:v>
                </c:pt>
                <c:pt idx="53">
                  <c:v>09-06-2025 - 15-06-2025</c:v>
                </c:pt>
                <c:pt idx="54">
                  <c:v>16-06-2025 - 22-06-2025</c:v>
                </c:pt>
                <c:pt idx="55">
                  <c:v>23-06-2025 - 29-06-2025</c:v>
                </c:pt>
                <c:pt idx="56">
                  <c:v>30-06-2025 - 06-07-2025</c:v>
                </c:pt>
                <c:pt idx="57">
                  <c:v>07-07-2025 - 13-07-2025</c:v>
                </c:pt>
                <c:pt idx="58">
                  <c:v>14-07-2025 - 20-07-2025</c:v>
                </c:pt>
                <c:pt idx="59">
                  <c:v>21-07-2025 - 27-07-2025</c:v>
                </c:pt>
                <c:pt idx="60">
                  <c:v>28-07-2025 - 03-08-2025</c:v>
                </c:pt>
                <c:pt idx="61">
                  <c:v>04-08-2025 - 10-08-2025</c:v>
                </c:pt>
                <c:pt idx="62">
                  <c:v>11-08-2025 - 17-08-2025</c:v>
                </c:pt>
                <c:pt idx="63">
                  <c:v>18-08-2025 - 24-08-2025</c:v>
                </c:pt>
                <c:pt idx="64">
                  <c:v>25-08-2025 - 31-08-2025</c:v>
                </c:pt>
                <c:pt idx="65">
                  <c:v>01-09-2025 - 07-09-2025</c:v>
                </c:pt>
                <c:pt idx="66">
                  <c:v>08-09-2025 - 09-09-2025</c:v>
                </c:pt>
              </c:strCache>
            </c:strRef>
          </c:cat>
          <c:val>
            <c:numRef>
              <c:f>'highest net follower gain '!$C$3:$C$70</c:f>
              <c:numCache>
                <c:formatCode>0</c:formatCode>
                <c:ptCount val="67"/>
                <c:pt idx="0">
                  <c:v>726181</c:v>
                </c:pt>
                <c:pt idx="1">
                  <c:v>815774</c:v>
                </c:pt>
                <c:pt idx="2">
                  <c:v>595435</c:v>
                </c:pt>
                <c:pt idx="3">
                  <c:v>344254</c:v>
                </c:pt>
                <c:pt idx="4">
                  <c:v>699666</c:v>
                </c:pt>
                <c:pt idx="5">
                  <c:v>613273</c:v>
                </c:pt>
                <c:pt idx="6">
                  <c:v>642684</c:v>
                </c:pt>
                <c:pt idx="7">
                  <c:v>853358</c:v>
                </c:pt>
                <c:pt idx="8">
                  <c:v>810091</c:v>
                </c:pt>
                <c:pt idx="9">
                  <c:v>654183</c:v>
                </c:pt>
                <c:pt idx="10">
                  <c:v>464023</c:v>
                </c:pt>
                <c:pt idx="11">
                  <c:v>582318</c:v>
                </c:pt>
                <c:pt idx="12">
                  <c:v>704327</c:v>
                </c:pt>
                <c:pt idx="13">
                  <c:v>1054834</c:v>
                </c:pt>
                <c:pt idx="14">
                  <c:v>951069</c:v>
                </c:pt>
                <c:pt idx="15">
                  <c:v>799210</c:v>
                </c:pt>
                <c:pt idx="16">
                  <c:v>790742</c:v>
                </c:pt>
                <c:pt idx="17">
                  <c:v>916465</c:v>
                </c:pt>
                <c:pt idx="18">
                  <c:v>665116</c:v>
                </c:pt>
                <c:pt idx="19">
                  <c:v>808228</c:v>
                </c:pt>
                <c:pt idx="20">
                  <c:v>380718</c:v>
                </c:pt>
                <c:pt idx="21">
                  <c:v>752264</c:v>
                </c:pt>
                <c:pt idx="22">
                  <c:v>801974</c:v>
                </c:pt>
                <c:pt idx="23">
                  <c:v>739023</c:v>
                </c:pt>
                <c:pt idx="24">
                  <c:v>696740</c:v>
                </c:pt>
                <c:pt idx="25">
                  <c:v>713083</c:v>
                </c:pt>
                <c:pt idx="26">
                  <c:v>636440</c:v>
                </c:pt>
                <c:pt idx="27">
                  <c:v>571705</c:v>
                </c:pt>
                <c:pt idx="28">
                  <c:v>485095</c:v>
                </c:pt>
                <c:pt idx="29">
                  <c:v>622811</c:v>
                </c:pt>
                <c:pt idx="30">
                  <c:v>739481</c:v>
                </c:pt>
                <c:pt idx="31">
                  <c:v>556042</c:v>
                </c:pt>
                <c:pt idx="32">
                  <c:v>858618</c:v>
                </c:pt>
                <c:pt idx="33">
                  <c:v>935043</c:v>
                </c:pt>
                <c:pt idx="34">
                  <c:v>733033</c:v>
                </c:pt>
                <c:pt idx="35">
                  <c:v>753381</c:v>
                </c:pt>
                <c:pt idx="36">
                  <c:v>566101</c:v>
                </c:pt>
                <c:pt idx="37">
                  <c:v>714184</c:v>
                </c:pt>
                <c:pt idx="38">
                  <c:v>885645</c:v>
                </c:pt>
                <c:pt idx="39">
                  <c:v>521268</c:v>
                </c:pt>
                <c:pt idx="40">
                  <c:v>833149</c:v>
                </c:pt>
                <c:pt idx="41">
                  <c:v>907395</c:v>
                </c:pt>
                <c:pt idx="42">
                  <c:v>709694</c:v>
                </c:pt>
                <c:pt idx="43">
                  <c:v>451254</c:v>
                </c:pt>
                <c:pt idx="44">
                  <c:v>939103</c:v>
                </c:pt>
                <c:pt idx="45">
                  <c:v>820940</c:v>
                </c:pt>
                <c:pt idx="46">
                  <c:v>934625</c:v>
                </c:pt>
                <c:pt idx="47">
                  <c:v>823305</c:v>
                </c:pt>
                <c:pt idx="48">
                  <c:v>852779</c:v>
                </c:pt>
                <c:pt idx="49">
                  <c:v>788687</c:v>
                </c:pt>
                <c:pt idx="50">
                  <c:v>618662</c:v>
                </c:pt>
                <c:pt idx="51">
                  <c:v>931841</c:v>
                </c:pt>
                <c:pt idx="52">
                  <c:v>519539</c:v>
                </c:pt>
                <c:pt idx="53">
                  <c:v>656127</c:v>
                </c:pt>
                <c:pt idx="54">
                  <c:v>531150</c:v>
                </c:pt>
                <c:pt idx="55">
                  <c:v>693251</c:v>
                </c:pt>
                <c:pt idx="56">
                  <c:v>412942</c:v>
                </c:pt>
                <c:pt idx="57">
                  <c:v>891971</c:v>
                </c:pt>
                <c:pt idx="58">
                  <c:v>774977</c:v>
                </c:pt>
                <c:pt idx="59">
                  <c:v>670538</c:v>
                </c:pt>
                <c:pt idx="60">
                  <c:v>322593</c:v>
                </c:pt>
                <c:pt idx="61">
                  <c:v>489443</c:v>
                </c:pt>
                <c:pt idx="62">
                  <c:v>572788</c:v>
                </c:pt>
                <c:pt idx="63">
                  <c:v>665981</c:v>
                </c:pt>
                <c:pt idx="64">
                  <c:v>586956</c:v>
                </c:pt>
                <c:pt idx="65">
                  <c:v>669785</c:v>
                </c:pt>
                <c:pt idx="66">
                  <c:v>440040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D-48AC-8F54-60D34289B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623856"/>
        <c:axId val="1667617136"/>
      </c:lineChart>
      <c:catAx>
        <c:axId val="166762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17136"/>
        <c:crosses val="autoZero"/>
        <c:auto val="1"/>
        <c:lblAlgn val="ctr"/>
        <c:lblOffset val="100"/>
        <c:noMultiLvlLbl val="0"/>
      </c:catAx>
      <c:valAx>
        <c:axId val="166761713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2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Follower Retention ^0 Loyalty.xlsx]Moving average!PivotTable7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771781836842695E-2"/>
          <c:y val="0.1219917932793612"/>
          <c:w val="0.63677908387724447"/>
          <c:h val="0.44536815075796998"/>
        </c:manualLayout>
      </c:layout>
      <c:lineChart>
        <c:grouping val="standard"/>
        <c:varyColors val="0"/>
        <c:ser>
          <c:idx val="0"/>
          <c:order val="0"/>
          <c:tx>
            <c:strRef>
              <c:f>'Moving average'!$C$2</c:f>
              <c:strCache>
                <c:ptCount val="1"/>
                <c:pt idx="0">
                  <c:v>Sum of Net Follower 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'Moving average'!$B$3:$B$70</c:f>
              <c:strCache>
                <c:ptCount val="6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12-05-2025 - 18-05-2025</c:v>
                </c:pt>
                <c:pt idx="50">
                  <c:v>19-05-2025 - 25-05-2025</c:v>
                </c:pt>
                <c:pt idx="51">
                  <c:v>26-05-2025 - 01-06-2025</c:v>
                </c:pt>
                <c:pt idx="52">
                  <c:v>02-06-2025 - 08-06-2025</c:v>
                </c:pt>
                <c:pt idx="53">
                  <c:v>09-06-2025 - 15-06-2025</c:v>
                </c:pt>
                <c:pt idx="54">
                  <c:v>16-06-2025 - 22-06-2025</c:v>
                </c:pt>
                <c:pt idx="55">
                  <c:v>23-06-2025 - 29-06-2025</c:v>
                </c:pt>
                <c:pt idx="56">
                  <c:v>30-06-2025 - 06-07-2025</c:v>
                </c:pt>
                <c:pt idx="57">
                  <c:v>07-07-2025 - 13-07-2025</c:v>
                </c:pt>
                <c:pt idx="58">
                  <c:v>14-07-2025 - 20-07-2025</c:v>
                </c:pt>
                <c:pt idx="59">
                  <c:v>21-07-2025 - 27-07-2025</c:v>
                </c:pt>
                <c:pt idx="60">
                  <c:v>28-07-2025 - 03-08-2025</c:v>
                </c:pt>
                <c:pt idx="61">
                  <c:v>04-08-2025 - 10-08-2025</c:v>
                </c:pt>
                <c:pt idx="62">
                  <c:v>11-08-2025 - 17-08-2025</c:v>
                </c:pt>
                <c:pt idx="63">
                  <c:v>18-08-2025 - 24-08-2025</c:v>
                </c:pt>
                <c:pt idx="64">
                  <c:v>25-08-2025 - 31-08-2025</c:v>
                </c:pt>
                <c:pt idx="65">
                  <c:v>01-09-2025 - 07-09-2025</c:v>
                </c:pt>
                <c:pt idx="66">
                  <c:v>08-09-2025 - 09-09-2025</c:v>
                </c:pt>
              </c:strCache>
            </c:strRef>
          </c:cat>
          <c:val>
            <c:numRef>
              <c:f>'Moving average'!$C$3:$C$70</c:f>
              <c:numCache>
                <c:formatCode>0</c:formatCode>
                <c:ptCount val="67"/>
                <c:pt idx="0">
                  <c:v>726181</c:v>
                </c:pt>
                <c:pt idx="1">
                  <c:v>815774</c:v>
                </c:pt>
                <c:pt idx="2">
                  <c:v>595435</c:v>
                </c:pt>
                <c:pt idx="3">
                  <c:v>344254</c:v>
                </c:pt>
                <c:pt idx="4">
                  <c:v>699666</c:v>
                </c:pt>
                <c:pt idx="5">
                  <c:v>613273</c:v>
                </c:pt>
                <c:pt idx="6">
                  <c:v>642684</c:v>
                </c:pt>
                <c:pt idx="7">
                  <c:v>853358</c:v>
                </c:pt>
                <c:pt idx="8">
                  <c:v>810091</c:v>
                </c:pt>
                <c:pt idx="9">
                  <c:v>654183</c:v>
                </c:pt>
                <c:pt idx="10">
                  <c:v>464023</c:v>
                </c:pt>
                <c:pt idx="11">
                  <c:v>582318</c:v>
                </c:pt>
                <c:pt idx="12">
                  <c:v>704327</c:v>
                </c:pt>
                <c:pt idx="13">
                  <c:v>1054834</c:v>
                </c:pt>
                <c:pt idx="14">
                  <c:v>951069</c:v>
                </c:pt>
                <c:pt idx="15">
                  <c:v>799210</c:v>
                </c:pt>
                <c:pt idx="16">
                  <c:v>790742</c:v>
                </c:pt>
                <c:pt idx="17">
                  <c:v>916465</c:v>
                </c:pt>
                <c:pt idx="18">
                  <c:v>665116</c:v>
                </c:pt>
                <c:pt idx="19">
                  <c:v>808228</c:v>
                </c:pt>
                <c:pt idx="20">
                  <c:v>380718</c:v>
                </c:pt>
                <c:pt idx="21">
                  <c:v>752264</c:v>
                </c:pt>
                <c:pt idx="22">
                  <c:v>801974</c:v>
                </c:pt>
                <c:pt idx="23">
                  <c:v>739023</c:v>
                </c:pt>
                <c:pt idx="24">
                  <c:v>696740</c:v>
                </c:pt>
                <c:pt idx="25">
                  <c:v>713083</c:v>
                </c:pt>
                <c:pt idx="26">
                  <c:v>636440</c:v>
                </c:pt>
                <c:pt idx="27">
                  <c:v>571705</c:v>
                </c:pt>
                <c:pt idx="28">
                  <c:v>485095</c:v>
                </c:pt>
                <c:pt idx="29">
                  <c:v>622811</c:v>
                </c:pt>
                <c:pt idx="30">
                  <c:v>739481</c:v>
                </c:pt>
                <c:pt idx="31">
                  <c:v>556042</c:v>
                </c:pt>
                <c:pt idx="32">
                  <c:v>858618</c:v>
                </c:pt>
                <c:pt idx="33">
                  <c:v>935043</c:v>
                </c:pt>
                <c:pt idx="34">
                  <c:v>733033</c:v>
                </c:pt>
                <c:pt idx="35">
                  <c:v>753381</c:v>
                </c:pt>
                <c:pt idx="36">
                  <c:v>566101</c:v>
                </c:pt>
                <c:pt idx="37">
                  <c:v>714184</c:v>
                </c:pt>
                <c:pt idx="38">
                  <c:v>885645</c:v>
                </c:pt>
                <c:pt idx="39">
                  <c:v>521268</c:v>
                </c:pt>
                <c:pt idx="40">
                  <c:v>833149</c:v>
                </c:pt>
                <c:pt idx="41">
                  <c:v>907395</c:v>
                </c:pt>
                <c:pt idx="42">
                  <c:v>709694</c:v>
                </c:pt>
                <c:pt idx="43">
                  <c:v>451254</c:v>
                </c:pt>
                <c:pt idx="44">
                  <c:v>939103</c:v>
                </c:pt>
                <c:pt idx="45">
                  <c:v>820940</c:v>
                </c:pt>
                <c:pt idx="46">
                  <c:v>934625</c:v>
                </c:pt>
                <c:pt idx="47">
                  <c:v>823305</c:v>
                </c:pt>
                <c:pt idx="48">
                  <c:v>852779</c:v>
                </c:pt>
                <c:pt idx="49">
                  <c:v>788687</c:v>
                </c:pt>
                <c:pt idx="50">
                  <c:v>618662</c:v>
                </c:pt>
                <c:pt idx="51">
                  <c:v>931841</c:v>
                </c:pt>
                <c:pt idx="52">
                  <c:v>519539</c:v>
                </c:pt>
                <c:pt idx="53">
                  <c:v>656127</c:v>
                </c:pt>
                <c:pt idx="54">
                  <c:v>531150</c:v>
                </c:pt>
                <c:pt idx="55">
                  <c:v>693251</c:v>
                </c:pt>
                <c:pt idx="56">
                  <c:v>412942</c:v>
                </c:pt>
                <c:pt idx="57">
                  <c:v>891971</c:v>
                </c:pt>
                <c:pt idx="58">
                  <c:v>774977</c:v>
                </c:pt>
                <c:pt idx="59">
                  <c:v>670538</c:v>
                </c:pt>
                <c:pt idx="60">
                  <c:v>322593</c:v>
                </c:pt>
                <c:pt idx="61">
                  <c:v>489443</c:v>
                </c:pt>
                <c:pt idx="62">
                  <c:v>572788</c:v>
                </c:pt>
                <c:pt idx="63">
                  <c:v>665981</c:v>
                </c:pt>
                <c:pt idx="64">
                  <c:v>586956</c:v>
                </c:pt>
                <c:pt idx="65">
                  <c:v>669785</c:v>
                </c:pt>
                <c:pt idx="66">
                  <c:v>440040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A-486D-83BF-2D6A2DE1A24E}"/>
            </c:ext>
          </c:extLst>
        </c:ser>
        <c:ser>
          <c:idx val="1"/>
          <c:order val="1"/>
          <c:tx>
            <c:strRef>
              <c:f>'Moving average'!$D$2</c:f>
              <c:strCache>
                <c:ptCount val="1"/>
                <c:pt idx="0">
                  <c:v>Sum of 3 weeks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'Moving average'!$B$3:$B$70</c:f>
              <c:strCache>
                <c:ptCount val="6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12-05-2025 - 18-05-2025</c:v>
                </c:pt>
                <c:pt idx="50">
                  <c:v>19-05-2025 - 25-05-2025</c:v>
                </c:pt>
                <c:pt idx="51">
                  <c:v>26-05-2025 - 01-06-2025</c:v>
                </c:pt>
                <c:pt idx="52">
                  <c:v>02-06-2025 - 08-06-2025</c:v>
                </c:pt>
                <c:pt idx="53">
                  <c:v>09-06-2025 - 15-06-2025</c:v>
                </c:pt>
                <c:pt idx="54">
                  <c:v>16-06-2025 - 22-06-2025</c:v>
                </c:pt>
                <c:pt idx="55">
                  <c:v>23-06-2025 - 29-06-2025</c:v>
                </c:pt>
                <c:pt idx="56">
                  <c:v>30-06-2025 - 06-07-2025</c:v>
                </c:pt>
                <c:pt idx="57">
                  <c:v>07-07-2025 - 13-07-2025</c:v>
                </c:pt>
                <c:pt idx="58">
                  <c:v>14-07-2025 - 20-07-2025</c:v>
                </c:pt>
                <c:pt idx="59">
                  <c:v>21-07-2025 - 27-07-2025</c:v>
                </c:pt>
                <c:pt idx="60">
                  <c:v>28-07-2025 - 03-08-2025</c:v>
                </c:pt>
                <c:pt idx="61">
                  <c:v>04-08-2025 - 10-08-2025</c:v>
                </c:pt>
                <c:pt idx="62">
                  <c:v>11-08-2025 - 17-08-2025</c:v>
                </c:pt>
                <c:pt idx="63">
                  <c:v>18-08-2025 - 24-08-2025</c:v>
                </c:pt>
                <c:pt idx="64">
                  <c:v>25-08-2025 - 31-08-2025</c:v>
                </c:pt>
                <c:pt idx="65">
                  <c:v>01-09-2025 - 07-09-2025</c:v>
                </c:pt>
                <c:pt idx="66">
                  <c:v>08-09-2025 - 09-09-2025</c:v>
                </c:pt>
              </c:strCache>
            </c:strRef>
          </c:cat>
          <c:val>
            <c:numRef>
              <c:f>'Moving average'!$D$3:$D$70</c:f>
              <c:numCache>
                <c:formatCode>0</c:formatCode>
                <c:ptCount val="67"/>
                <c:pt idx="0">
                  <c:v>738329</c:v>
                </c:pt>
                <c:pt idx="1">
                  <c:v>790133.00000000012</c:v>
                </c:pt>
                <c:pt idx="2">
                  <c:v>550487.33333333337</c:v>
                </c:pt>
                <c:pt idx="3">
                  <c:v>434968.66666666663</c:v>
                </c:pt>
                <c:pt idx="4">
                  <c:v>760443.33333333337</c:v>
                </c:pt>
                <c:pt idx="5">
                  <c:v>561627</c:v>
                </c:pt>
                <c:pt idx="6">
                  <c:v>666572.33333333326</c:v>
                </c:pt>
                <c:pt idx="7">
                  <c:v>905941.66666666674</c:v>
                </c:pt>
                <c:pt idx="8">
                  <c:v>711099.33333333337</c:v>
                </c:pt>
                <c:pt idx="9">
                  <c:v>560443.66666666663</c:v>
                </c:pt>
                <c:pt idx="10">
                  <c:v>635564</c:v>
                </c:pt>
                <c:pt idx="11">
                  <c:v>534655.66666666663</c:v>
                </c:pt>
                <c:pt idx="12">
                  <c:v>838719</c:v>
                </c:pt>
                <c:pt idx="13">
                  <c:v>1047374.6666666665</c:v>
                </c:pt>
                <c:pt idx="14">
                  <c:v>905028.33333333326</c:v>
                </c:pt>
                <c:pt idx="15">
                  <c:v>684858.33333333326</c:v>
                </c:pt>
                <c:pt idx="16">
                  <c:v>925888</c:v>
                </c:pt>
                <c:pt idx="17">
                  <c:v>882961.33333333326</c:v>
                </c:pt>
                <c:pt idx="18">
                  <c:v>611270.66666666674</c:v>
                </c:pt>
                <c:pt idx="19">
                  <c:v>690485</c:v>
                </c:pt>
                <c:pt idx="20">
                  <c:v>579469.66666666663</c:v>
                </c:pt>
                <c:pt idx="21">
                  <c:v>783091</c:v>
                </c:pt>
                <c:pt idx="22">
                  <c:v>739365.66666666663</c:v>
                </c:pt>
                <c:pt idx="23">
                  <c:v>669480.66666666663</c:v>
                </c:pt>
                <c:pt idx="24">
                  <c:v>782764</c:v>
                </c:pt>
                <c:pt idx="25">
                  <c:v>575899.33333333337</c:v>
                </c:pt>
                <c:pt idx="26">
                  <c:v>750503</c:v>
                </c:pt>
                <c:pt idx="27">
                  <c:v>477695.66666666674</c:v>
                </c:pt>
                <c:pt idx="28">
                  <c:v>450349</c:v>
                </c:pt>
                <c:pt idx="29">
                  <c:v>770957</c:v>
                </c:pt>
                <c:pt idx="30">
                  <c:v>599462.66666666663</c:v>
                </c:pt>
                <c:pt idx="31">
                  <c:v>750921.33333333337</c:v>
                </c:pt>
                <c:pt idx="32">
                  <c:v>827700.00000000012</c:v>
                </c:pt>
                <c:pt idx="33">
                  <c:v>927815.33333333326</c:v>
                </c:pt>
                <c:pt idx="34">
                  <c:v>666729</c:v>
                </c:pt>
                <c:pt idx="35">
                  <c:v>747128</c:v>
                </c:pt>
                <c:pt idx="36">
                  <c:v>521563.33333333337</c:v>
                </c:pt>
                <c:pt idx="37">
                  <c:v>816783</c:v>
                </c:pt>
                <c:pt idx="38">
                  <c:v>719177</c:v>
                </c:pt>
                <c:pt idx="39">
                  <c:v>662378.33333333326</c:v>
                </c:pt>
                <c:pt idx="40">
                  <c:v>883850.66666666663</c:v>
                </c:pt>
                <c:pt idx="41">
                  <c:v>759690.99999999988</c:v>
                </c:pt>
                <c:pt idx="42">
                  <c:v>673143.33333333337</c:v>
                </c:pt>
                <c:pt idx="43">
                  <c:v>664304</c:v>
                </c:pt>
                <c:pt idx="44">
                  <c:v>899844</c:v>
                </c:pt>
                <c:pt idx="45">
                  <c:v>845731.66666666674</c:v>
                </c:pt>
                <c:pt idx="46">
                  <c:v>875916.66666666674</c:v>
                </c:pt>
                <c:pt idx="47">
                  <c:v>879592.33333333326</c:v>
                </c:pt>
                <c:pt idx="48">
                  <c:v>828504.66666666674</c:v>
                </c:pt>
                <c:pt idx="49">
                  <c:v>676935.66666666674</c:v>
                </c:pt>
                <c:pt idx="50">
                  <c:v>717361.66666666663</c:v>
                </c:pt>
                <c:pt idx="51">
                  <c:v>873733.33333333337</c:v>
                </c:pt>
                <c:pt idx="52">
                  <c:v>454436</c:v>
                </c:pt>
                <c:pt idx="53">
                  <c:v>702176</c:v>
                </c:pt>
                <c:pt idx="54">
                  <c:v>593099</c:v>
                </c:pt>
                <c:pt idx="55">
                  <c:v>599860</c:v>
                </c:pt>
                <c:pt idx="56">
                  <c:v>529165.66666666674</c:v>
                </c:pt>
                <c:pt idx="57">
                  <c:v>778035</c:v>
                </c:pt>
                <c:pt idx="58">
                  <c:v>742478.66666666663</c:v>
                </c:pt>
                <c:pt idx="59">
                  <c:v>642320</c:v>
                </c:pt>
                <c:pt idx="60">
                  <c:v>349796.66666666663</c:v>
                </c:pt>
                <c:pt idx="61">
                  <c:v>608259.33333333326</c:v>
                </c:pt>
                <c:pt idx="62">
                  <c:v>529835.66666666674</c:v>
                </c:pt>
                <c:pt idx="63">
                  <c:v>637960</c:v>
                </c:pt>
                <c:pt idx="64">
                  <c:v>601029</c:v>
                </c:pt>
                <c:pt idx="65">
                  <c:v>636918</c:v>
                </c:pt>
                <c:pt idx="66">
                  <c:v>569322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A-486D-83BF-2D6A2DE1A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034224"/>
        <c:axId val="1658039504"/>
      </c:lineChart>
      <c:catAx>
        <c:axId val="165803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39504"/>
        <c:crosses val="autoZero"/>
        <c:auto val="1"/>
        <c:lblAlgn val="ctr"/>
        <c:lblOffset val="100"/>
        <c:noMultiLvlLbl val="0"/>
      </c:catAx>
      <c:valAx>
        <c:axId val="165803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'Ad Spend vs. Follower Growth'!$H$1</c:f>
              <c:strCache>
                <c:ptCount val="1"/>
                <c:pt idx="0">
                  <c:v>Net Follower Gain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 Spend vs. Follower Growth'!$G$2:$G$201</c:f>
              <c:numCache>
                <c:formatCode>0</c:formatCode>
                <c:ptCount val="200"/>
                <c:pt idx="0">
                  <c:v>7975</c:v>
                </c:pt>
                <c:pt idx="1">
                  <c:v>22029</c:v>
                </c:pt>
                <c:pt idx="2">
                  <c:v>12170</c:v>
                </c:pt>
                <c:pt idx="3">
                  <c:v>24617</c:v>
                </c:pt>
                <c:pt idx="4">
                  <c:v>9847</c:v>
                </c:pt>
                <c:pt idx="5">
                  <c:v>11335</c:v>
                </c:pt>
                <c:pt idx="6">
                  <c:v>19949</c:v>
                </c:pt>
                <c:pt idx="7">
                  <c:v>20306</c:v>
                </c:pt>
                <c:pt idx="8">
                  <c:v>7810</c:v>
                </c:pt>
                <c:pt idx="9">
                  <c:v>18654</c:v>
                </c:pt>
                <c:pt idx="10">
                  <c:v>9592</c:v>
                </c:pt>
                <c:pt idx="11">
                  <c:v>9195</c:v>
                </c:pt>
                <c:pt idx="12">
                  <c:v>26073</c:v>
                </c:pt>
                <c:pt idx="13">
                  <c:v>10253</c:v>
                </c:pt>
                <c:pt idx="14">
                  <c:v>12937</c:v>
                </c:pt>
                <c:pt idx="15">
                  <c:v>11453</c:v>
                </c:pt>
                <c:pt idx="16">
                  <c:v>25478</c:v>
                </c:pt>
                <c:pt idx="17">
                  <c:v>16385</c:v>
                </c:pt>
                <c:pt idx="18">
                  <c:v>24358</c:v>
                </c:pt>
                <c:pt idx="19">
                  <c:v>24548</c:v>
                </c:pt>
                <c:pt idx="20">
                  <c:v>17103</c:v>
                </c:pt>
                <c:pt idx="21">
                  <c:v>5495</c:v>
                </c:pt>
                <c:pt idx="22">
                  <c:v>6031</c:v>
                </c:pt>
                <c:pt idx="23">
                  <c:v>20438</c:v>
                </c:pt>
                <c:pt idx="24">
                  <c:v>11421</c:v>
                </c:pt>
                <c:pt idx="25">
                  <c:v>14496</c:v>
                </c:pt>
                <c:pt idx="26">
                  <c:v>27809</c:v>
                </c:pt>
                <c:pt idx="27">
                  <c:v>26273</c:v>
                </c:pt>
                <c:pt idx="28">
                  <c:v>11418</c:v>
                </c:pt>
                <c:pt idx="29">
                  <c:v>24858</c:v>
                </c:pt>
                <c:pt idx="30">
                  <c:v>27753</c:v>
                </c:pt>
                <c:pt idx="31">
                  <c:v>25703</c:v>
                </c:pt>
                <c:pt idx="32">
                  <c:v>20474</c:v>
                </c:pt>
                <c:pt idx="33">
                  <c:v>23963</c:v>
                </c:pt>
                <c:pt idx="34">
                  <c:v>6868</c:v>
                </c:pt>
                <c:pt idx="35">
                  <c:v>10104</c:v>
                </c:pt>
                <c:pt idx="36">
                  <c:v>12031</c:v>
                </c:pt>
                <c:pt idx="37">
                  <c:v>25542</c:v>
                </c:pt>
                <c:pt idx="38">
                  <c:v>5526</c:v>
                </c:pt>
                <c:pt idx="39">
                  <c:v>21771</c:v>
                </c:pt>
                <c:pt idx="40">
                  <c:v>11684</c:v>
                </c:pt>
                <c:pt idx="41">
                  <c:v>25259</c:v>
                </c:pt>
                <c:pt idx="42">
                  <c:v>14749</c:v>
                </c:pt>
                <c:pt idx="43">
                  <c:v>6532</c:v>
                </c:pt>
                <c:pt idx="44">
                  <c:v>14217</c:v>
                </c:pt>
                <c:pt idx="45">
                  <c:v>11181</c:v>
                </c:pt>
                <c:pt idx="46">
                  <c:v>8910</c:v>
                </c:pt>
                <c:pt idx="47">
                  <c:v>26298</c:v>
                </c:pt>
                <c:pt idx="48">
                  <c:v>27782</c:v>
                </c:pt>
                <c:pt idx="49">
                  <c:v>25267</c:v>
                </c:pt>
                <c:pt idx="50">
                  <c:v>14563</c:v>
                </c:pt>
                <c:pt idx="51">
                  <c:v>13301</c:v>
                </c:pt>
                <c:pt idx="52">
                  <c:v>14178</c:v>
                </c:pt>
                <c:pt idx="53">
                  <c:v>10343</c:v>
                </c:pt>
                <c:pt idx="54">
                  <c:v>12181</c:v>
                </c:pt>
                <c:pt idx="55">
                  <c:v>5836</c:v>
                </c:pt>
                <c:pt idx="56">
                  <c:v>20595</c:v>
                </c:pt>
                <c:pt idx="57">
                  <c:v>6824</c:v>
                </c:pt>
                <c:pt idx="58">
                  <c:v>19538</c:v>
                </c:pt>
                <c:pt idx="59">
                  <c:v>16875</c:v>
                </c:pt>
                <c:pt idx="60">
                  <c:v>25130</c:v>
                </c:pt>
                <c:pt idx="61">
                  <c:v>25038</c:v>
                </c:pt>
                <c:pt idx="62">
                  <c:v>12277</c:v>
                </c:pt>
                <c:pt idx="63">
                  <c:v>11235</c:v>
                </c:pt>
                <c:pt idx="64">
                  <c:v>11625</c:v>
                </c:pt>
                <c:pt idx="65">
                  <c:v>7140</c:v>
                </c:pt>
                <c:pt idx="66">
                  <c:v>11911</c:v>
                </c:pt>
                <c:pt idx="67">
                  <c:v>25537</c:v>
                </c:pt>
                <c:pt idx="68">
                  <c:v>9383</c:v>
                </c:pt>
                <c:pt idx="69">
                  <c:v>15128</c:v>
                </c:pt>
                <c:pt idx="70">
                  <c:v>8182</c:v>
                </c:pt>
                <c:pt idx="71">
                  <c:v>11005</c:v>
                </c:pt>
                <c:pt idx="72">
                  <c:v>16377</c:v>
                </c:pt>
                <c:pt idx="73">
                  <c:v>26024</c:v>
                </c:pt>
                <c:pt idx="74">
                  <c:v>26333</c:v>
                </c:pt>
                <c:pt idx="75">
                  <c:v>8274</c:v>
                </c:pt>
                <c:pt idx="76">
                  <c:v>22428</c:v>
                </c:pt>
                <c:pt idx="77">
                  <c:v>24827</c:v>
                </c:pt>
                <c:pt idx="78">
                  <c:v>13424</c:v>
                </c:pt>
                <c:pt idx="79">
                  <c:v>15773</c:v>
                </c:pt>
                <c:pt idx="80">
                  <c:v>13051</c:v>
                </c:pt>
                <c:pt idx="81">
                  <c:v>5900</c:v>
                </c:pt>
                <c:pt idx="82">
                  <c:v>18071</c:v>
                </c:pt>
                <c:pt idx="83">
                  <c:v>25058</c:v>
                </c:pt>
                <c:pt idx="84">
                  <c:v>15595</c:v>
                </c:pt>
                <c:pt idx="85">
                  <c:v>15655</c:v>
                </c:pt>
                <c:pt idx="86">
                  <c:v>25742</c:v>
                </c:pt>
                <c:pt idx="87">
                  <c:v>8698</c:v>
                </c:pt>
                <c:pt idx="88">
                  <c:v>11908</c:v>
                </c:pt>
                <c:pt idx="89">
                  <c:v>27393</c:v>
                </c:pt>
                <c:pt idx="90">
                  <c:v>13314</c:v>
                </c:pt>
                <c:pt idx="91">
                  <c:v>26730</c:v>
                </c:pt>
                <c:pt idx="92">
                  <c:v>22191</c:v>
                </c:pt>
                <c:pt idx="93">
                  <c:v>7245</c:v>
                </c:pt>
                <c:pt idx="94">
                  <c:v>19000</c:v>
                </c:pt>
                <c:pt idx="95">
                  <c:v>25040</c:v>
                </c:pt>
                <c:pt idx="96">
                  <c:v>9567</c:v>
                </c:pt>
                <c:pt idx="97">
                  <c:v>12767</c:v>
                </c:pt>
                <c:pt idx="98">
                  <c:v>5924</c:v>
                </c:pt>
                <c:pt idx="99">
                  <c:v>14477</c:v>
                </c:pt>
                <c:pt idx="100">
                  <c:v>10563</c:v>
                </c:pt>
                <c:pt idx="101">
                  <c:v>26644</c:v>
                </c:pt>
                <c:pt idx="102">
                  <c:v>13763</c:v>
                </c:pt>
                <c:pt idx="103">
                  <c:v>22788</c:v>
                </c:pt>
                <c:pt idx="104">
                  <c:v>17662</c:v>
                </c:pt>
                <c:pt idx="105">
                  <c:v>14534</c:v>
                </c:pt>
                <c:pt idx="106">
                  <c:v>21107</c:v>
                </c:pt>
                <c:pt idx="107">
                  <c:v>27575</c:v>
                </c:pt>
                <c:pt idx="108">
                  <c:v>23736</c:v>
                </c:pt>
                <c:pt idx="109">
                  <c:v>10495</c:v>
                </c:pt>
                <c:pt idx="110">
                  <c:v>7797</c:v>
                </c:pt>
                <c:pt idx="111">
                  <c:v>18442</c:v>
                </c:pt>
                <c:pt idx="112">
                  <c:v>9092</c:v>
                </c:pt>
                <c:pt idx="113">
                  <c:v>15613</c:v>
                </c:pt>
                <c:pt idx="114">
                  <c:v>22234</c:v>
                </c:pt>
                <c:pt idx="115">
                  <c:v>6625</c:v>
                </c:pt>
                <c:pt idx="116">
                  <c:v>21900</c:v>
                </c:pt>
                <c:pt idx="117">
                  <c:v>26624</c:v>
                </c:pt>
                <c:pt idx="118">
                  <c:v>22244</c:v>
                </c:pt>
                <c:pt idx="119">
                  <c:v>15924</c:v>
                </c:pt>
                <c:pt idx="120">
                  <c:v>17729</c:v>
                </c:pt>
                <c:pt idx="121">
                  <c:v>11911</c:v>
                </c:pt>
                <c:pt idx="122">
                  <c:v>18576</c:v>
                </c:pt>
                <c:pt idx="123">
                  <c:v>10402</c:v>
                </c:pt>
                <c:pt idx="124">
                  <c:v>20109</c:v>
                </c:pt>
                <c:pt idx="125">
                  <c:v>12115</c:v>
                </c:pt>
                <c:pt idx="126">
                  <c:v>19328</c:v>
                </c:pt>
                <c:pt idx="127">
                  <c:v>14975</c:v>
                </c:pt>
                <c:pt idx="128">
                  <c:v>5960</c:v>
                </c:pt>
                <c:pt idx="129">
                  <c:v>21134</c:v>
                </c:pt>
                <c:pt idx="130">
                  <c:v>6027</c:v>
                </c:pt>
                <c:pt idx="131">
                  <c:v>20572</c:v>
                </c:pt>
                <c:pt idx="132">
                  <c:v>17574</c:v>
                </c:pt>
                <c:pt idx="133">
                  <c:v>23329</c:v>
                </c:pt>
                <c:pt idx="134">
                  <c:v>7859</c:v>
                </c:pt>
                <c:pt idx="135">
                  <c:v>12840</c:v>
                </c:pt>
                <c:pt idx="136">
                  <c:v>12390</c:v>
                </c:pt>
                <c:pt idx="137">
                  <c:v>12774</c:v>
                </c:pt>
                <c:pt idx="138">
                  <c:v>13883</c:v>
                </c:pt>
                <c:pt idx="139">
                  <c:v>5291</c:v>
                </c:pt>
                <c:pt idx="140">
                  <c:v>18267</c:v>
                </c:pt>
                <c:pt idx="141">
                  <c:v>8760</c:v>
                </c:pt>
                <c:pt idx="142">
                  <c:v>20162</c:v>
                </c:pt>
                <c:pt idx="143">
                  <c:v>11972</c:v>
                </c:pt>
                <c:pt idx="144">
                  <c:v>10563</c:v>
                </c:pt>
                <c:pt idx="145">
                  <c:v>10881</c:v>
                </c:pt>
                <c:pt idx="146">
                  <c:v>15461</c:v>
                </c:pt>
                <c:pt idx="147">
                  <c:v>16921</c:v>
                </c:pt>
                <c:pt idx="148">
                  <c:v>24943</c:v>
                </c:pt>
                <c:pt idx="149">
                  <c:v>22103</c:v>
                </c:pt>
                <c:pt idx="150">
                  <c:v>5281</c:v>
                </c:pt>
                <c:pt idx="151">
                  <c:v>14215</c:v>
                </c:pt>
                <c:pt idx="152">
                  <c:v>21079</c:v>
                </c:pt>
                <c:pt idx="153">
                  <c:v>9247</c:v>
                </c:pt>
                <c:pt idx="154">
                  <c:v>19054</c:v>
                </c:pt>
                <c:pt idx="155">
                  <c:v>18303</c:v>
                </c:pt>
                <c:pt idx="156">
                  <c:v>23900</c:v>
                </c:pt>
                <c:pt idx="157">
                  <c:v>12985</c:v>
                </c:pt>
                <c:pt idx="158">
                  <c:v>12399</c:v>
                </c:pt>
                <c:pt idx="159">
                  <c:v>6772</c:v>
                </c:pt>
                <c:pt idx="160">
                  <c:v>12323</c:v>
                </c:pt>
                <c:pt idx="161">
                  <c:v>22456</c:v>
                </c:pt>
                <c:pt idx="162">
                  <c:v>23125</c:v>
                </c:pt>
                <c:pt idx="163">
                  <c:v>26618</c:v>
                </c:pt>
                <c:pt idx="164">
                  <c:v>14273</c:v>
                </c:pt>
                <c:pt idx="165">
                  <c:v>10858</c:v>
                </c:pt>
                <c:pt idx="166">
                  <c:v>21464</c:v>
                </c:pt>
                <c:pt idx="167">
                  <c:v>18867</c:v>
                </c:pt>
                <c:pt idx="168">
                  <c:v>14051</c:v>
                </c:pt>
                <c:pt idx="169">
                  <c:v>27126</c:v>
                </c:pt>
                <c:pt idx="170">
                  <c:v>11826</c:v>
                </c:pt>
                <c:pt idx="171">
                  <c:v>25234</c:v>
                </c:pt>
                <c:pt idx="172">
                  <c:v>17460</c:v>
                </c:pt>
                <c:pt idx="173">
                  <c:v>23486</c:v>
                </c:pt>
                <c:pt idx="174">
                  <c:v>10311</c:v>
                </c:pt>
                <c:pt idx="175">
                  <c:v>12562</c:v>
                </c:pt>
                <c:pt idx="176">
                  <c:v>25347</c:v>
                </c:pt>
                <c:pt idx="177">
                  <c:v>14475</c:v>
                </c:pt>
                <c:pt idx="178">
                  <c:v>7299</c:v>
                </c:pt>
                <c:pt idx="179">
                  <c:v>13740</c:v>
                </c:pt>
                <c:pt idx="180">
                  <c:v>15108</c:v>
                </c:pt>
                <c:pt idx="181">
                  <c:v>14479</c:v>
                </c:pt>
                <c:pt idx="182">
                  <c:v>12391</c:v>
                </c:pt>
                <c:pt idx="183">
                  <c:v>11966</c:v>
                </c:pt>
                <c:pt idx="184">
                  <c:v>6120</c:v>
                </c:pt>
                <c:pt idx="185">
                  <c:v>15915</c:v>
                </c:pt>
                <c:pt idx="186">
                  <c:v>7881</c:v>
                </c:pt>
                <c:pt idx="187">
                  <c:v>22619</c:v>
                </c:pt>
                <c:pt idx="188">
                  <c:v>21254</c:v>
                </c:pt>
                <c:pt idx="189">
                  <c:v>5413</c:v>
                </c:pt>
                <c:pt idx="190">
                  <c:v>10681</c:v>
                </c:pt>
                <c:pt idx="191">
                  <c:v>13140</c:v>
                </c:pt>
                <c:pt idx="192">
                  <c:v>26872</c:v>
                </c:pt>
                <c:pt idx="193">
                  <c:v>13644</c:v>
                </c:pt>
                <c:pt idx="194">
                  <c:v>14412</c:v>
                </c:pt>
                <c:pt idx="195">
                  <c:v>24112</c:v>
                </c:pt>
                <c:pt idx="196">
                  <c:v>5624</c:v>
                </c:pt>
                <c:pt idx="197">
                  <c:v>13013</c:v>
                </c:pt>
                <c:pt idx="198">
                  <c:v>10615</c:v>
                </c:pt>
                <c:pt idx="199">
                  <c:v>27829</c:v>
                </c:pt>
              </c:numCache>
            </c:numRef>
          </c:xVal>
          <c:yVal>
            <c:numRef>
              <c:f>'Ad Spend vs. Follower Growth'!$H$2:$H$201</c:f>
              <c:numCache>
                <c:formatCode>0</c:formatCode>
                <c:ptCount val="200"/>
                <c:pt idx="0">
                  <c:v>398908</c:v>
                </c:pt>
                <c:pt idx="1">
                  <c:v>392073</c:v>
                </c:pt>
                <c:pt idx="2">
                  <c:v>388385</c:v>
                </c:pt>
                <c:pt idx="3">
                  <c:v>381731</c:v>
                </c:pt>
                <c:pt idx="4">
                  <c:v>377227</c:v>
                </c:pt>
                <c:pt idx="5">
                  <c:v>376084</c:v>
                </c:pt>
                <c:pt idx="6">
                  <c:v>374661</c:v>
                </c:pt>
                <c:pt idx="7">
                  <c:v>372306</c:v>
                </c:pt>
                <c:pt idx="8">
                  <c:v>371418</c:v>
                </c:pt>
                <c:pt idx="9">
                  <c:v>369571</c:v>
                </c:pt>
                <c:pt idx="10">
                  <c:v>369325</c:v>
                </c:pt>
                <c:pt idx="11">
                  <c:v>369091</c:v>
                </c:pt>
                <c:pt idx="12">
                  <c:v>366725</c:v>
                </c:pt>
                <c:pt idx="13">
                  <c:v>363639</c:v>
                </c:pt>
                <c:pt idx="14">
                  <c:v>363137</c:v>
                </c:pt>
                <c:pt idx="15">
                  <c:v>361722</c:v>
                </c:pt>
                <c:pt idx="16">
                  <c:v>361181</c:v>
                </c:pt>
                <c:pt idx="17">
                  <c:v>360106</c:v>
                </c:pt>
                <c:pt idx="18">
                  <c:v>359756</c:v>
                </c:pt>
                <c:pt idx="19">
                  <c:v>359326</c:v>
                </c:pt>
                <c:pt idx="20">
                  <c:v>355463</c:v>
                </c:pt>
                <c:pt idx="21">
                  <c:v>354700</c:v>
                </c:pt>
                <c:pt idx="22">
                  <c:v>354447</c:v>
                </c:pt>
                <c:pt idx="23">
                  <c:v>353127</c:v>
                </c:pt>
                <c:pt idx="24">
                  <c:v>353027</c:v>
                </c:pt>
                <c:pt idx="25">
                  <c:v>352197</c:v>
                </c:pt>
                <c:pt idx="26">
                  <c:v>352088</c:v>
                </c:pt>
                <c:pt idx="27">
                  <c:v>350267</c:v>
                </c:pt>
                <c:pt idx="28">
                  <c:v>349302</c:v>
                </c:pt>
                <c:pt idx="29">
                  <c:v>347268</c:v>
                </c:pt>
                <c:pt idx="30">
                  <c:v>346349</c:v>
                </c:pt>
                <c:pt idx="31">
                  <c:v>346242</c:v>
                </c:pt>
                <c:pt idx="32">
                  <c:v>346184</c:v>
                </c:pt>
                <c:pt idx="33">
                  <c:v>345245</c:v>
                </c:pt>
                <c:pt idx="34">
                  <c:v>343210</c:v>
                </c:pt>
                <c:pt idx="35">
                  <c:v>342324</c:v>
                </c:pt>
                <c:pt idx="36">
                  <c:v>341700</c:v>
                </c:pt>
                <c:pt idx="37">
                  <c:v>341515</c:v>
                </c:pt>
                <c:pt idx="38">
                  <c:v>341453</c:v>
                </c:pt>
                <c:pt idx="39">
                  <c:v>341112</c:v>
                </c:pt>
                <c:pt idx="40">
                  <c:v>340788</c:v>
                </c:pt>
                <c:pt idx="41">
                  <c:v>339136</c:v>
                </c:pt>
                <c:pt idx="42">
                  <c:v>339028</c:v>
                </c:pt>
                <c:pt idx="43">
                  <c:v>336739</c:v>
                </c:pt>
                <c:pt idx="44">
                  <c:v>335402</c:v>
                </c:pt>
                <c:pt idx="45">
                  <c:v>334695</c:v>
                </c:pt>
                <c:pt idx="46">
                  <c:v>334182</c:v>
                </c:pt>
                <c:pt idx="47">
                  <c:v>330299</c:v>
                </c:pt>
                <c:pt idx="48">
                  <c:v>328368</c:v>
                </c:pt>
                <c:pt idx="49">
                  <c:v>328164</c:v>
                </c:pt>
                <c:pt idx="50">
                  <c:v>327993</c:v>
                </c:pt>
                <c:pt idx="51">
                  <c:v>327671</c:v>
                </c:pt>
                <c:pt idx="52">
                  <c:v>326567</c:v>
                </c:pt>
                <c:pt idx="53">
                  <c:v>321611</c:v>
                </c:pt>
                <c:pt idx="54">
                  <c:v>319853</c:v>
                </c:pt>
                <c:pt idx="55">
                  <c:v>318856</c:v>
                </c:pt>
                <c:pt idx="56">
                  <c:v>317165</c:v>
                </c:pt>
                <c:pt idx="57">
                  <c:v>315717</c:v>
                </c:pt>
                <c:pt idx="58">
                  <c:v>313812</c:v>
                </c:pt>
                <c:pt idx="59">
                  <c:v>311628</c:v>
                </c:pt>
                <c:pt idx="60">
                  <c:v>309707</c:v>
                </c:pt>
                <c:pt idx="61">
                  <c:v>307712</c:v>
                </c:pt>
                <c:pt idx="62">
                  <c:v>301514</c:v>
                </c:pt>
                <c:pt idx="63">
                  <c:v>298005</c:v>
                </c:pt>
                <c:pt idx="64">
                  <c:v>297618</c:v>
                </c:pt>
                <c:pt idx="65">
                  <c:v>296595</c:v>
                </c:pt>
                <c:pt idx="66">
                  <c:v>295635</c:v>
                </c:pt>
                <c:pt idx="67">
                  <c:v>294358</c:v>
                </c:pt>
                <c:pt idx="68">
                  <c:v>292576</c:v>
                </c:pt>
                <c:pt idx="69">
                  <c:v>285518</c:v>
                </c:pt>
                <c:pt idx="70">
                  <c:v>284235</c:v>
                </c:pt>
                <c:pt idx="71">
                  <c:v>283859</c:v>
                </c:pt>
                <c:pt idx="72">
                  <c:v>282341</c:v>
                </c:pt>
                <c:pt idx="73">
                  <c:v>279725</c:v>
                </c:pt>
                <c:pt idx="74">
                  <c:v>278259</c:v>
                </c:pt>
                <c:pt idx="75">
                  <c:v>277626</c:v>
                </c:pt>
                <c:pt idx="76">
                  <c:v>275045</c:v>
                </c:pt>
                <c:pt idx="77">
                  <c:v>273878</c:v>
                </c:pt>
                <c:pt idx="78">
                  <c:v>273406</c:v>
                </c:pt>
                <c:pt idx="79">
                  <c:v>272976</c:v>
                </c:pt>
                <c:pt idx="80">
                  <c:v>272210</c:v>
                </c:pt>
                <c:pt idx="81">
                  <c:v>272184</c:v>
                </c:pt>
                <c:pt idx="82">
                  <c:v>270350</c:v>
                </c:pt>
                <c:pt idx="83">
                  <c:v>268045</c:v>
                </c:pt>
                <c:pt idx="84">
                  <c:v>266714</c:v>
                </c:pt>
                <c:pt idx="85">
                  <c:v>265695</c:v>
                </c:pt>
                <c:pt idx="86">
                  <c:v>264827</c:v>
                </c:pt>
                <c:pt idx="87">
                  <c:v>264616</c:v>
                </c:pt>
                <c:pt idx="88">
                  <c:v>261187</c:v>
                </c:pt>
                <c:pt idx="89">
                  <c:v>259306</c:v>
                </c:pt>
                <c:pt idx="90">
                  <c:v>259123</c:v>
                </c:pt>
                <c:pt idx="91">
                  <c:v>258029</c:v>
                </c:pt>
                <c:pt idx="92">
                  <c:v>255667</c:v>
                </c:pt>
                <c:pt idx="93">
                  <c:v>254790</c:v>
                </c:pt>
                <c:pt idx="94">
                  <c:v>253140</c:v>
                </c:pt>
                <c:pt idx="95">
                  <c:v>251730</c:v>
                </c:pt>
                <c:pt idx="96">
                  <c:v>249052</c:v>
                </c:pt>
                <c:pt idx="97">
                  <c:v>248796</c:v>
                </c:pt>
                <c:pt idx="98">
                  <c:v>247243</c:v>
                </c:pt>
                <c:pt idx="99">
                  <c:v>247230</c:v>
                </c:pt>
                <c:pt idx="100">
                  <c:v>241011</c:v>
                </c:pt>
                <c:pt idx="101">
                  <c:v>236500</c:v>
                </c:pt>
                <c:pt idx="102">
                  <c:v>232384</c:v>
                </c:pt>
                <c:pt idx="103">
                  <c:v>228867</c:v>
                </c:pt>
                <c:pt idx="104">
                  <c:v>228307</c:v>
                </c:pt>
                <c:pt idx="105">
                  <c:v>227816</c:v>
                </c:pt>
                <c:pt idx="106">
                  <c:v>218823</c:v>
                </c:pt>
                <c:pt idx="107">
                  <c:v>216985</c:v>
                </c:pt>
                <c:pt idx="108">
                  <c:v>215285</c:v>
                </c:pt>
                <c:pt idx="109">
                  <c:v>207833</c:v>
                </c:pt>
                <c:pt idx="110">
                  <c:v>204913</c:v>
                </c:pt>
                <c:pt idx="111">
                  <c:v>203601</c:v>
                </c:pt>
                <c:pt idx="112">
                  <c:v>203004</c:v>
                </c:pt>
                <c:pt idx="113">
                  <c:v>201989</c:v>
                </c:pt>
                <c:pt idx="114">
                  <c:v>199345</c:v>
                </c:pt>
                <c:pt idx="115">
                  <c:v>198337</c:v>
                </c:pt>
                <c:pt idx="116">
                  <c:v>195999</c:v>
                </c:pt>
                <c:pt idx="117">
                  <c:v>195617</c:v>
                </c:pt>
                <c:pt idx="118">
                  <c:v>195529</c:v>
                </c:pt>
                <c:pt idx="119">
                  <c:v>194248</c:v>
                </c:pt>
                <c:pt idx="120">
                  <c:v>192576</c:v>
                </c:pt>
                <c:pt idx="121">
                  <c:v>190226</c:v>
                </c:pt>
                <c:pt idx="122">
                  <c:v>189085</c:v>
                </c:pt>
                <c:pt idx="123">
                  <c:v>185476</c:v>
                </c:pt>
                <c:pt idx="124">
                  <c:v>183753</c:v>
                </c:pt>
                <c:pt idx="125">
                  <c:v>180625</c:v>
                </c:pt>
                <c:pt idx="126">
                  <c:v>179329</c:v>
                </c:pt>
                <c:pt idx="127">
                  <c:v>178100</c:v>
                </c:pt>
                <c:pt idx="128">
                  <c:v>178035</c:v>
                </c:pt>
                <c:pt idx="129">
                  <c:v>177852</c:v>
                </c:pt>
                <c:pt idx="130">
                  <c:v>176380</c:v>
                </c:pt>
                <c:pt idx="131">
                  <c:v>174948</c:v>
                </c:pt>
                <c:pt idx="132">
                  <c:v>172787</c:v>
                </c:pt>
                <c:pt idx="133">
                  <c:v>172079</c:v>
                </c:pt>
                <c:pt idx="134">
                  <c:v>170969</c:v>
                </c:pt>
                <c:pt idx="135">
                  <c:v>170909</c:v>
                </c:pt>
                <c:pt idx="136">
                  <c:v>170024</c:v>
                </c:pt>
                <c:pt idx="137">
                  <c:v>168822</c:v>
                </c:pt>
                <c:pt idx="138">
                  <c:v>168806</c:v>
                </c:pt>
                <c:pt idx="139">
                  <c:v>168179</c:v>
                </c:pt>
                <c:pt idx="140">
                  <c:v>166044</c:v>
                </c:pt>
                <c:pt idx="141">
                  <c:v>161619</c:v>
                </c:pt>
                <c:pt idx="142">
                  <c:v>157880</c:v>
                </c:pt>
                <c:pt idx="143">
                  <c:v>157210</c:v>
                </c:pt>
                <c:pt idx="144">
                  <c:v>155497</c:v>
                </c:pt>
                <c:pt idx="145">
                  <c:v>152687</c:v>
                </c:pt>
                <c:pt idx="146">
                  <c:v>152638</c:v>
                </c:pt>
                <c:pt idx="147">
                  <c:v>150998</c:v>
                </c:pt>
                <c:pt idx="148">
                  <c:v>148199</c:v>
                </c:pt>
                <c:pt idx="149">
                  <c:v>144771</c:v>
                </c:pt>
                <c:pt idx="150">
                  <c:v>144567</c:v>
                </c:pt>
                <c:pt idx="151">
                  <c:v>141923</c:v>
                </c:pt>
                <c:pt idx="152">
                  <c:v>141399</c:v>
                </c:pt>
                <c:pt idx="153">
                  <c:v>139709</c:v>
                </c:pt>
                <c:pt idx="154">
                  <c:v>138957</c:v>
                </c:pt>
                <c:pt idx="155">
                  <c:v>133605</c:v>
                </c:pt>
                <c:pt idx="156">
                  <c:v>133338</c:v>
                </c:pt>
                <c:pt idx="157">
                  <c:v>130914</c:v>
                </c:pt>
                <c:pt idx="158">
                  <c:v>129741</c:v>
                </c:pt>
                <c:pt idx="159">
                  <c:v>128508</c:v>
                </c:pt>
                <c:pt idx="160">
                  <c:v>128224</c:v>
                </c:pt>
                <c:pt idx="161">
                  <c:v>126715</c:v>
                </c:pt>
                <c:pt idx="162">
                  <c:v>125896</c:v>
                </c:pt>
                <c:pt idx="163">
                  <c:v>125310</c:v>
                </c:pt>
                <c:pt idx="164">
                  <c:v>123809</c:v>
                </c:pt>
                <c:pt idx="165">
                  <c:v>123714</c:v>
                </c:pt>
                <c:pt idx="166">
                  <c:v>121998</c:v>
                </c:pt>
                <c:pt idx="167">
                  <c:v>119436</c:v>
                </c:pt>
                <c:pt idx="168">
                  <c:v>119325</c:v>
                </c:pt>
                <c:pt idx="169">
                  <c:v>118024</c:v>
                </c:pt>
                <c:pt idx="170">
                  <c:v>117758</c:v>
                </c:pt>
                <c:pt idx="171">
                  <c:v>117715</c:v>
                </c:pt>
                <c:pt idx="172">
                  <c:v>117174</c:v>
                </c:pt>
                <c:pt idx="173">
                  <c:v>117105</c:v>
                </c:pt>
                <c:pt idx="174">
                  <c:v>116696</c:v>
                </c:pt>
                <c:pt idx="175">
                  <c:v>116263</c:v>
                </c:pt>
                <c:pt idx="176">
                  <c:v>115315</c:v>
                </c:pt>
                <c:pt idx="177">
                  <c:v>114161</c:v>
                </c:pt>
                <c:pt idx="178">
                  <c:v>112164</c:v>
                </c:pt>
                <c:pt idx="179">
                  <c:v>108696</c:v>
                </c:pt>
                <c:pt idx="180">
                  <c:v>106027</c:v>
                </c:pt>
                <c:pt idx="181">
                  <c:v>103336</c:v>
                </c:pt>
                <c:pt idx="182">
                  <c:v>96475</c:v>
                </c:pt>
                <c:pt idx="183">
                  <c:v>93402</c:v>
                </c:pt>
                <c:pt idx="184">
                  <c:v>93148</c:v>
                </c:pt>
                <c:pt idx="185">
                  <c:v>92621</c:v>
                </c:pt>
                <c:pt idx="186">
                  <c:v>90738</c:v>
                </c:pt>
                <c:pt idx="187">
                  <c:v>87798</c:v>
                </c:pt>
                <c:pt idx="188">
                  <c:v>87797</c:v>
                </c:pt>
                <c:pt idx="189">
                  <c:v>87793</c:v>
                </c:pt>
                <c:pt idx="190">
                  <c:v>82571</c:v>
                </c:pt>
                <c:pt idx="191">
                  <c:v>82567</c:v>
                </c:pt>
                <c:pt idx="192">
                  <c:v>81858</c:v>
                </c:pt>
                <c:pt idx="193">
                  <c:v>79837</c:v>
                </c:pt>
                <c:pt idx="194">
                  <c:v>78237</c:v>
                </c:pt>
                <c:pt idx="195">
                  <c:v>76483</c:v>
                </c:pt>
                <c:pt idx="196">
                  <c:v>69701</c:v>
                </c:pt>
                <c:pt idx="197">
                  <c:v>65174</c:v>
                </c:pt>
                <c:pt idx="198">
                  <c:v>63162</c:v>
                </c:pt>
                <c:pt idx="199">
                  <c:v>61827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7-4DBB-A930-EA578676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07631"/>
        <c:axId val="560013391"/>
      </c:scatterChart>
      <c:valAx>
        <c:axId val="56000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13391"/>
        <c:crosses val="autoZero"/>
        <c:crossBetween val="midCat"/>
      </c:valAx>
      <c:valAx>
        <c:axId val="5600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0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0</xdr:row>
      <xdr:rowOff>91440</xdr:rowOff>
    </xdr:from>
    <xdr:to>
      <xdr:col>18</xdr:col>
      <xdr:colOff>91440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DF17C-4DE2-C8C0-8F54-8CC20F6F1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137160</xdr:colOff>
      <xdr:row>20</xdr:row>
      <xdr:rowOff>30480</xdr:rowOff>
    </xdr:from>
    <xdr:to>
      <xdr:col>14</xdr:col>
      <xdr:colOff>320040</xdr:colOff>
      <xdr:row>25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BAEF55-45EE-9FDE-BE4B-4F40D58D668C}"/>
            </a:ext>
          </a:extLst>
        </xdr:cNvPr>
        <xdr:cNvSpPr txBox="1"/>
      </xdr:nvSpPr>
      <xdr:spPr>
        <a:xfrm>
          <a:off x="3771900" y="3688080"/>
          <a:ext cx="6888480" cy="1013460"/>
        </a:xfrm>
        <a:prstGeom prst="rect">
          <a:avLst/>
        </a:prstGeom>
        <a:solidFill>
          <a:schemeClr val="bg2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🔎 Insights:</a:t>
          </a:r>
        </a:p>
        <a:p>
          <a:pPr marL="0" indent="0"/>
          <a:r>
            <a:rPr lang="en-IN" sz="1200" b="0">
              <a:solidFill>
                <a:schemeClr val="dk1"/>
              </a:solidFill>
              <a:latin typeface="+mn-lt"/>
              <a:ea typeface="+mn-ea"/>
              <a:cs typeface="+mn-cs"/>
            </a:rPr>
            <a:t>1.Highlighted week is the highest net follower gained week</a:t>
          </a:r>
        </a:p>
        <a:p>
          <a:r>
            <a:rPr lang="en-IN" sz="1200" b="0"/>
            <a:t>2.Net follower gain is fluctuating week by week.</a:t>
          </a:r>
        </a:p>
        <a:p>
          <a:r>
            <a:rPr lang="en-IN" sz="1200" b="0"/>
            <a:t>4.Growth is not stable — it is volatile.</a:t>
          </a:r>
          <a:endParaRPr lang="en-IN" sz="11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0</xdr:row>
      <xdr:rowOff>95250</xdr:rowOff>
    </xdr:from>
    <xdr:to>
      <xdr:col>16</xdr:col>
      <xdr:colOff>464820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1821D-026C-69D1-91E7-F2C5AF286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20</xdr:row>
      <xdr:rowOff>53340</xdr:rowOff>
    </xdr:from>
    <xdr:to>
      <xdr:col>15</xdr:col>
      <xdr:colOff>68580</xdr:colOff>
      <xdr:row>27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5F2B60-83BE-AE41-732E-9E463608EEDD}"/>
            </a:ext>
          </a:extLst>
        </xdr:cNvPr>
        <xdr:cNvSpPr txBox="1"/>
      </xdr:nvSpPr>
      <xdr:spPr>
        <a:xfrm>
          <a:off x="5920740" y="3710940"/>
          <a:ext cx="6461760" cy="12649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🔎 Insights:</a:t>
          </a:r>
        </a:p>
        <a:p>
          <a:r>
            <a:rPr lang="en-IN" sz="1200"/>
            <a:t>1.Overall trend looks </a:t>
          </a:r>
          <a:r>
            <a:rPr lang="en-IN" sz="1200" b="1"/>
            <a:t>moderately stable</a:t>
          </a:r>
          <a:r>
            <a:rPr lang="en-IN" sz="1200"/>
            <a:t>.</a:t>
          </a:r>
        </a:p>
        <a:p>
          <a:r>
            <a:rPr lang="en-IN" sz="1200"/>
            <a:t>2.There is still slight up-and-down movement.</a:t>
          </a:r>
        </a:p>
        <a:p>
          <a:r>
            <a:rPr lang="en-IN" sz="1200"/>
            <a:t>3. Some periods show gradual growth</a:t>
          </a:r>
          <a:r>
            <a:rPr lang="en-IN" sz="1200" baseline="0"/>
            <a:t> t</a:t>
          </a:r>
          <a:r>
            <a:rPr lang="en-IN" sz="1200"/>
            <a:t>owards the later weeks, there seems to be slight softening.</a:t>
          </a:r>
          <a:endParaRPr lang="en-IN" sz="1100"/>
        </a:p>
        <a:p>
          <a:r>
            <a:rPr lang="en-IN" sz="1200"/>
            <a:t>4. The moving average shows overall stable follower growth with moderate fluctuations.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19</xdr:row>
      <xdr:rowOff>106680</xdr:rowOff>
    </xdr:from>
    <xdr:to>
      <xdr:col>18</xdr:col>
      <xdr:colOff>0</xdr:colOff>
      <xdr:row>24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54C2CC-1324-1AF6-5B98-98C15128BAE2}"/>
            </a:ext>
          </a:extLst>
        </xdr:cNvPr>
        <xdr:cNvSpPr txBox="1"/>
      </xdr:nvSpPr>
      <xdr:spPr>
        <a:xfrm>
          <a:off x="9364980" y="3596640"/>
          <a:ext cx="4274820" cy="9829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Insights</a:t>
          </a:r>
        </a:p>
        <a:p>
          <a:r>
            <a:rPr lang="en-IN" sz="1200"/>
            <a:t>1. The</a:t>
          </a:r>
          <a:r>
            <a:rPr lang="en-IN" sz="1200" baseline="0"/>
            <a:t> correlation value is 0.04345 is alsmost zero. this means ad spend is not strongly influencing followers growth.</a:t>
          </a:r>
        </a:p>
        <a:p>
          <a:r>
            <a:rPr lang="en-IN" sz="1200" baseline="0"/>
            <a:t>2.  Increasing budget is not consistently increasing followers.</a:t>
          </a:r>
        </a:p>
        <a:p>
          <a:endParaRPr lang="en-IN" sz="1100"/>
        </a:p>
      </xdr:txBody>
    </xdr:sp>
    <xdr:clientData/>
  </xdr:twoCellAnchor>
  <xdr:twoCellAnchor>
    <xdr:from>
      <xdr:col>10</xdr:col>
      <xdr:colOff>457200</xdr:colOff>
      <xdr:row>2</xdr:row>
      <xdr:rowOff>179070</xdr:rowOff>
    </xdr:from>
    <xdr:to>
      <xdr:col>18</xdr:col>
      <xdr:colOff>152400</xdr:colOff>
      <xdr:row>17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1251C0-0F4E-D96C-EEFD-90581128A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ask%206%20Follower%20Retention%20%5e0%20Loyalt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Task%206%20Follower%20Retention%20%5e0%20Loyalt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880354513887" createdVersion="8" refreshedVersion="8" minRefreshableVersion="3" recordCount="200" xr:uid="{D8E722FB-C831-4027-8AC5-4C39CBFA0243}">
  <cacheSource type="worksheet">
    <worksheetSource ref="A1:H201" sheet="Ad Spend vs. Follower Growth" r:id="rId2"/>
  </cacheSource>
  <cacheFields count="9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8"/>
    </cacheField>
    <cacheField name="Platform" numFmtId="0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 Follower Gain" numFmtId="1">
      <sharedItems containsSemiMixedTypes="0" containsString="0" containsNumber="1" containsInteger="1" minValue="61827" maxValue="398908"/>
    </cacheField>
    <cacheField name="Days (Week_Start_Date)" numFmtId="0" databaseField="0">
      <fieldGroup base="0">
        <rangePr groupBy="days" startDate="2024-06-03T00:00:00" endDate="2025-09-09T00:00:00" groupInterval="7"/>
        <groupItems count="69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8-05-2025"/>
          <s v="19-05-2025 - 25-05-2025"/>
          <s v="26-05-2025 - 01-06-2025"/>
          <s v="02-06-2025 - 08-06-2025"/>
          <s v="09-06-2025 - 15-06-2025"/>
          <s v="16-06-2025 - 22-06-2025"/>
          <s v="23-06-2025 - 29-06-2025"/>
          <s v="30-06-2025 - 06-07-2025"/>
          <s v="07-07-2025 - 13-07-2025"/>
          <s v="14-07-2025 - 20-07-2025"/>
          <s v="21-07-2025 - 27-07-2025"/>
          <s v="28-07-2025 - 03-08-2025"/>
          <s v="04-08-2025 - 10-08-2025"/>
          <s v="11-08-2025 - 17-08-2025"/>
          <s v="18-08-2025 - 24-08-2025"/>
          <s v="25-08-2025 - 31-08-2025"/>
          <s v="01-09-2025 - 07-09-2025"/>
          <s v="08-09-2025 - 09-09-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880412268518" createdVersion="8" refreshedVersion="8" minRefreshableVersion="3" recordCount="200" xr:uid="{BBE9F432-B780-4E9F-B93C-360913E38654}">
  <cacheSource type="worksheet">
    <worksheetSource ref="A1:I201" sheet="Ad Spend vs. Follower Growth" r:id="rId2"/>
  </cacheSource>
  <cacheFields count="10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9"/>
    </cacheField>
    <cacheField name="Platform" numFmtId="0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 Follower Gain" numFmtId="1">
      <sharedItems containsSemiMixedTypes="0" containsString="0" containsNumber="1" containsInteger="1" minValue="61827" maxValue="398908"/>
    </cacheField>
    <cacheField name="3 weeks Moving Average" numFmtId="1">
      <sharedItems containsSemiMixedTypes="0" containsString="0" containsNumber="1" minValue="96129.333333333328" maxValue="362841"/>
    </cacheField>
    <cacheField name="Days (Week_Start_Date)" numFmtId="0" databaseField="0">
      <fieldGroup base="0">
        <rangePr groupBy="days" startDate="2024-06-03T00:00:00" endDate="2025-09-09T00:00:00" groupInterval="7"/>
        <groupItems count="69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8-05-2025"/>
          <s v="19-05-2025 - 25-05-2025"/>
          <s v="26-05-2025 - 01-06-2025"/>
          <s v="02-06-2025 - 08-06-2025"/>
          <s v="09-06-2025 - 15-06-2025"/>
          <s v="16-06-2025 - 22-06-2025"/>
          <s v="23-06-2025 - 29-06-2025"/>
          <s v="30-06-2025 - 06-07-2025"/>
          <s v="07-07-2025 - 13-07-2025"/>
          <s v="14-07-2025 - 20-07-2025"/>
          <s v="21-07-2025 - 27-07-2025"/>
          <s v="28-07-2025 - 03-08-2025"/>
          <s v="04-08-2025 - 10-08-2025"/>
          <s v="11-08-2025 - 17-08-2025"/>
          <s v="18-08-2025 - 24-08-2025"/>
          <s v="25-08-2025 - 31-08-2025"/>
          <s v="01-09-2025 - 07-09-2025"/>
          <s v="08-09-2025 - 09-09-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25896"/>
  </r>
  <r>
    <x v="0"/>
    <s v="Twitter"/>
    <n v="995"/>
    <n v="86"/>
    <n v="227958"/>
    <n v="8.0500000000000007"/>
    <n v="22788"/>
    <n v="228867"/>
  </r>
  <r>
    <x v="0"/>
    <s v="YouTube"/>
    <n v="1472"/>
    <n v="296"/>
    <n v="370242"/>
    <n v="7.72"/>
    <n v="7810"/>
    <n v="371418"/>
  </r>
  <r>
    <x v="1"/>
    <s v="Instagram"/>
    <n v="1018"/>
    <n v="90"/>
    <n v="92474"/>
    <n v="9.4"/>
    <n v="11966"/>
    <n v="93402"/>
  </r>
  <r>
    <x v="1"/>
    <s v="Twitter"/>
    <n v="1461"/>
    <n v="64"/>
    <n v="328902"/>
    <n v="9.02"/>
    <n v="26298"/>
    <n v="330299"/>
  </r>
  <r>
    <x v="1"/>
    <s v="YouTube"/>
    <n v="545"/>
    <n v="93"/>
    <n v="391621"/>
    <n v="9.9600000000000009"/>
    <n v="22029"/>
    <n v="392073"/>
  </r>
  <r>
    <x v="2"/>
    <s v="Instagram"/>
    <n v="881"/>
    <n v="291"/>
    <n v="95885"/>
    <n v="5.29"/>
    <n v="12391"/>
    <n v="96475"/>
  </r>
  <r>
    <x v="2"/>
    <s v="Twitter"/>
    <n v="1414"/>
    <n v="131"/>
    <n v="245947"/>
    <n v="8.3000000000000007"/>
    <n v="14477"/>
    <n v="247230"/>
  </r>
  <r>
    <x v="2"/>
    <s v="YouTube"/>
    <n v="1472"/>
    <n v="170"/>
    <n v="250428"/>
    <n v="4.66"/>
    <n v="25040"/>
    <n v="251730"/>
  </r>
  <r>
    <x v="3"/>
    <s v="Instagram"/>
    <n v="809"/>
    <n v="197"/>
    <n v="87186"/>
    <n v="9.48"/>
    <n v="22619"/>
    <n v="87798"/>
  </r>
  <r>
    <x v="3"/>
    <s v="Twitter"/>
    <n v="1371"/>
    <n v="250"/>
    <n v="128620"/>
    <n v="7.11"/>
    <n v="12399"/>
    <n v="129741"/>
  </r>
  <r>
    <x v="3"/>
    <s v="YouTube"/>
    <n v="844"/>
    <n v="144"/>
    <n v="126015"/>
    <n v="9.65"/>
    <n v="22456"/>
    <n v="126715"/>
  </r>
  <r>
    <x v="4"/>
    <s v="Instagram"/>
    <n v="786"/>
    <n v="72"/>
    <n v="178615"/>
    <n v="5.43"/>
    <n v="19328"/>
    <n v="179329"/>
  </r>
  <r>
    <x v="4"/>
    <s v="Twitter"/>
    <n v="845"/>
    <n v="250"/>
    <n v="218228"/>
    <n v="4.5199999999999996"/>
    <n v="21107"/>
    <n v="218823"/>
  </r>
  <r>
    <x v="4"/>
    <s v="YouTube"/>
    <n v="1218"/>
    <n v="101"/>
    <n v="300397"/>
    <n v="4.33"/>
    <n v="12277"/>
    <n v="301514"/>
  </r>
  <r>
    <x v="5"/>
    <s v="Instagram"/>
    <n v="797"/>
    <n v="130"/>
    <n v="340121"/>
    <n v="8.52"/>
    <n v="11684"/>
    <n v="340788"/>
  </r>
  <r>
    <x v="5"/>
    <s v="Twitter"/>
    <n v="1471"/>
    <n v="100"/>
    <n v="76866"/>
    <n v="8.5500000000000007"/>
    <n v="14412"/>
    <n v="78237"/>
  </r>
  <r>
    <x v="5"/>
    <s v="YouTube"/>
    <n v="1253"/>
    <n v="136"/>
    <n v="193131"/>
    <n v="7.99"/>
    <n v="15924"/>
    <n v="194248"/>
  </r>
  <r>
    <x v="6"/>
    <s v="Instagram"/>
    <n v="616"/>
    <n v="257"/>
    <n v="169665"/>
    <n v="6.31"/>
    <n v="12390"/>
    <n v="170024"/>
  </r>
  <r>
    <x v="6"/>
    <s v="Twitter"/>
    <n v="1308"/>
    <n v="210"/>
    <n v="263729"/>
    <n v="8.5299999999999994"/>
    <n v="25742"/>
    <n v="264827"/>
  </r>
  <r>
    <x v="6"/>
    <s v="YouTube"/>
    <n v="981"/>
    <n v="69"/>
    <n v="206921"/>
    <n v="8.42"/>
    <n v="10495"/>
    <n v="207833"/>
  </r>
  <r>
    <x v="7"/>
    <s v="Instagram"/>
    <n v="866"/>
    <n v="74"/>
    <n v="204121"/>
    <n v="9.34"/>
    <n v="7797"/>
    <n v="204913"/>
  </r>
  <r>
    <x v="7"/>
    <s v="Twitter"/>
    <n v="547"/>
    <n v="183"/>
    <n v="266350"/>
    <n v="5.65"/>
    <n v="15595"/>
    <n v="266714"/>
  </r>
  <r>
    <x v="7"/>
    <s v="YouTube"/>
    <n v="1241"/>
    <n v="116"/>
    <n v="380606"/>
    <n v="4.2"/>
    <n v="24617"/>
    <n v="381731"/>
  </r>
  <r>
    <x v="8"/>
    <s v="Instagram"/>
    <n v="973"/>
    <n v="104"/>
    <n v="376358"/>
    <n v="3.87"/>
    <n v="9847"/>
    <n v="377227"/>
  </r>
  <r>
    <x v="8"/>
    <s v="Twitter"/>
    <n v="611"/>
    <n v="197"/>
    <n v="79423"/>
    <n v="5.82"/>
    <n v="13644"/>
    <n v="79837"/>
  </r>
  <r>
    <x v="8"/>
    <s v="YouTube"/>
    <n v="983"/>
    <n v="134"/>
    <n v="352178"/>
    <n v="3.55"/>
    <n v="11421"/>
    <n v="353027"/>
  </r>
  <r>
    <x v="9"/>
    <s v="Instagram"/>
    <n v="1449"/>
    <n v="96"/>
    <n v="200636"/>
    <n v="9.92"/>
    <n v="15613"/>
    <n v="201989"/>
  </r>
  <r>
    <x v="9"/>
    <s v="Twitter"/>
    <n v="752"/>
    <n v="170"/>
    <n v="132756"/>
    <n v="8.17"/>
    <n v="23900"/>
    <n v="133338"/>
  </r>
  <r>
    <x v="9"/>
    <s v="YouTube"/>
    <n v="937"/>
    <n v="179"/>
    <n v="318098"/>
    <n v="5.3"/>
    <n v="5836"/>
    <n v="318856"/>
  </r>
  <r>
    <x v="10"/>
    <s v="Instagram"/>
    <n v="1060"/>
    <n v="83"/>
    <n v="68724"/>
    <n v="5.98"/>
    <n v="5624"/>
    <n v="69701"/>
  </r>
  <r>
    <x v="10"/>
    <s v="Twitter"/>
    <n v="1456"/>
    <n v="265"/>
    <n v="115505"/>
    <n v="7.49"/>
    <n v="10311"/>
    <n v="116696"/>
  </r>
  <r>
    <x v="10"/>
    <s v="YouTube"/>
    <n v="1109"/>
    <n v="205"/>
    <n v="276722"/>
    <n v="9.3800000000000008"/>
    <n v="8274"/>
    <n v="277626"/>
  </r>
  <r>
    <x v="11"/>
    <s v="Instagram"/>
    <n v="1002"/>
    <n v="93"/>
    <n v="353538"/>
    <n v="5.84"/>
    <n v="6031"/>
    <n v="354447"/>
  </r>
  <r>
    <x v="11"/>
    <s v="Twitter"/>
    <n v="571"/>
    <n v="189"/>
    <n v="61445"/>
    <n v="5.41"/>
    <n v="27829"/>
    <n v="61827"/>
  </r>
  <r>
    <x v="11"/>
    <s v="YouTube"/>
    <n v="1240"/>
    <n v="231"/>
    <n v="165035"/>
    <n v="6.05"/>
    <n v="18267"/>
    <n v="166044"/>
  </r>
  <r>
    <x v="12"/>
    <s v="Instagram"/>
    <n v="1154"/>
    <n v="132"/>
    <n v="194595"/>
    <n v="7.54"/>
    <n v="26624"/>
    <n v="195617"/>
  </r>
  <r>
    <x v="12"/>
    <s v="Twitter"/>
    <n v="537"/>
    <n v="275"/>
    <n v="236238"/>
    <n v="5.87"/>
    <n v="26644"/>
    <n v="236500"/>
  </r>
  <r>
    <x v="12"/>
    <s v="YouTube"/>
    <n v="1456"/>
    <n v="290"/>
    <n v="271044"/>
    <n v="7.17"/>
    <n v="13051"/>
    <n v="272210"/>
  </r>
  <r>
    <x v="13"/>
    <s v="Instagram"/>
    <n v="721"/>
    <n v="206"/>
    <n v="334887"/>
    <n v="6.05"/>
    <n v="14217"/>
    <n v="335402"/>
  </r>
  <r>
    <x v="13"/>
    <s v="Twitter"/>
    <n v="1098"/>
    <n v="142"/>
    <n v="359150"/>
    <n v="7.51"/>
    <n v="16385"/>
    <n v="360106"/>
  </r>
  <r>
    <x v="13"/>
    <s v="YouTube"/>
    <n v="1096"/>
    <n v="65"/>
    <n v="358295"/>
    <n v="7.66"/>
    <n v="24548"/>
    <n v="359326"/>
  </r>
  <r>
    <x v="14"/>
    <s v="Instagram"/>
    <n v="912"/>
    <n v="275"/>
    <n v="368454"/>
    <n v="6.03"/>
    <n v="9195"/>
    <n v="369091"/>
  </r>
  <r>
    <x v="14"/>
    <s v="Twitter"/>
    <n v="1430"/>
    <n v="162"/>
    <n v="269082"/>
    <n v="3.4"/>
    <n v="18071"/>
    <n v="270350"/>
  </r>
  <r>
    <x v="14"/>
    <s v="YouTube"/>
    <n v="854"/>
    <n v="129"/>
    <n v="310903"/>
    <n v="7.83"/>
    <n v="16875"/>
    <n v="311628"/>
  </r>
  <r>
    <x v="15"/>
    <s v="Instagram"/>
    <n v="681"/>
    <n v="210"/>
    <n v="248581"/>
    <n v="8.76"/>
    <n v="9567"/>
    <n v="249052"/>
  </r>
  <r>
    <x v="15"/>
    <s v="Twitter"/>
    <n v="1373"/>
    <n v="82"/>
    <n v="371015"/>
    <n v="9.52"/>
    <n v="20306"/>
    <n v="372306"/>
  </r>
  <r>
    <x v="15"/>
    <s v="YouTube"/>
    <n v="685"/>
    <n v="285"/>
    <n v="177452"/>
    <n v="3.36"/>
    <n v="21134"/>
    <n v="177852"/>
  </r>
  <r>
    <x v="16"/>
    <s v="Instagram"/>
    <n v="1290"/>
    <n v="177"/>
    <n v="80745"/>
    <n v="9.2200000000000006"/>
    <n v="26872"/>
    <n v="81858"/>
  </r>
  <r>
    <x v="16"/>
    <s v="Twitter"/>
    <n v="1437"/>
    <n v="239"/>
    <n v="362441"/>
    <n v="5.57"/>
    <n v="10253"/>
    <n v="363639"/>
  </r>
  <r>
    <x v="16"/>
    <s v="YouTube"/>
    <n v="769"/>
    <n v="295"/>
    <n v="344771"/>
    <n v="8.06"/>
    <n v="23963"/>
    <n v="345245"/>
  </r>
  <r>
    <x v="17"/>
    <s v="Instagram"/>
    <n v="1416"/>
    <n v="284"/>
    <n v="374952"/>
    <n v="3.45"/>
    <n v="11335"/>
    <n v="376084"/>
  </r>
  <r>
    <x v="17"/>
    <s v="Twitter"/>
    <n v="998"/>
    <n v="154"/>
    <n v="179781"/>
    <n v="9.58"/>
    <n v="12115"/>
    <n v="180625"/>
  </r>
  <r>
    <x v="17"/>
    <s v="YouTube"/>
    <n v="1421"/>
    <n v="246"/>
    <n v="358581"/>
    <n v="8.8800000000000008"/>
    <n v="24358"/>
    <n v="359756"/>
  </r>
  <r>
    <x v="18"/>
    <s v="Instagram"/>
    <n v="764"/>
    <n v="205"/>
    <n v="319294"/>
    <n v="6.23"/>
    <n v="12181"/>
    <n v="319853"/>
  </r>
  <r>
    <x v="18"/>
    <s v="Twitter"/>
    <n v="678"/>
    <n v="124"/>
    <n v="192022"/>
    <n v="8.4499999999999993"/>
    <n v="17729"/>
    <n v="192576"/>
  </r>
  <r>
    <x v="18"/>
    <s v="YouTube"/>
    <n v="1328"/>
    <n v="103"/>
    <n v="151462"/>
    <n v="8.4"/>
    <n v="10881"/>
    <n v="152687"/>
  </r>
  <r>
    <x v="19"/>
    <s v="Instagram"/>
    <n v="1161"/>
    <n v="269"/>
    <n v="188193"/>
    <n v="7.34"/>
    <n v="18576"/>
    <n v="189085"/>
  </r>
  <r>
    <x v="19"/>
    <s v="Twitter"/>
    <n v="588"/>
    <n v="52"/>
    <n v="292040"/>
    <n v="8.14"/>
    <n v="9383"/>
    <n v="292576"/>
  </r>
  <r>
    <x v="19"/>
    <s v="YouTube"/>
    <n v="1457"/>
    <n v="215"/>
    <n v="325325"/>
    <n v="9.58"/>
    <n v="14178"/>
    <n v="326567"/>
  </r>
  <r>
    <x v="20"/>
    <s v="Instagram"/>
    <n v="1190"/>
    <n v="242"/>
    <n v="86849"/>
    <n v="8.06"/>
    <n v="21254"/>
    <n v="87797"/>
  </r>
  <r>
    <x v="20"/>
    <s v="Twitter"/>
    <n v="886"/>
    <n v="124"/>
    <n v="141161"/>
    <n v="8.19"/>
    <n v="14215"/>
    <n v="141923"/>
  </r>
  <r>
    <x v="20"/>
    <s v="YouTube"/>
    <n v="1237"/>
    <n v="155"/>
    <n v="149916"/>
    <n v="4.4800000000000004"/>
    <n v="16921"/>
    <n v="150998"/>
  </r>
  <r>
    <x v="21"/>
    <s v="Instagram"/>
    <n v="1435"/>
    <n v="261"/>
    <n v="308533"/>
    <n v="4.5199999999999996"/>
    <n v="25130"/>
    <n v="309707"/>
  </r>
  <r>
    <x v="21"/>
    <s v="Twitter"/>
    <n v="746"/>
    <n v="282"/>
    <n v="293894"/>
    <n v="5.42"/>
    <n v="25537"/>
    <n v="294358"/>
  </r>
  <r>
    <x v="21"/>
    <s v="YouTube"/>
    <n v="759"/>
    <n v="216"/>
    <n v="147656"/>
    <n v="4.08"/>
    <n v="24943"/>
    <n v="148199"/>
  </r>
  <r>
    <x v="22"/>
    <s v="Instagram"/>
    <n v="1437"/>
    <n v="235"/>
    <n v="326791"/>
    <n v="4.0599999999999996"/>
    <n v="14563"/>
    <n v="327993"/>
  </r>
  <r>
    <x v="22"/>
    <s v="Twitter"/>
    <n v="1463"/>
    <n v="73"/>
    <n v="348877"/>
    <n v="9.91"/>
    <n v="26273"/>
    <n v="350267"/>
  </r>
  <r>
    <x v="22"/>
    <s v="YouTube"/>
    <n v="1208"/>
    <n v="224"/>
    <n v="122730"/>
    <n v="8.7200000000000006"/>
    <n v="10858"/>
    <n v="123714"/>
  </r>
  <r>
    <x v="23"/>
    <s v="Instagram"/>
    <n v="1391"/>
    <n v="187"/>
    <n v="306508"/>
    <n v="8.3800000000000008"/>
    <n v="25038"/>
    <n v="307712"/>
  </r>
  <r>
    <x v="23"/>
    <s v="Twitter"/>
    <n v="655"/>
    <n v="123"/>
    <n v="202472"/>
    <n v="7.56"/>
    <n v="9092"/>
    <n v="203004"/>
  </r>
  <r>
    <x v="23"/>
    <s v="YouTube"/>
    <n v="1148"/>
    <n v="90"/>
    <n v="227249"/>
    <n v="7.24"/>
    <n v="17662"/>
    <n v="228307"/>
  </r>
  <r>
    <x v="24"/>
    <s v="Instagram"/>
    <n v="946"/>
    <n v="270"/>
    <n v="246567"/>
    <n v="4.53"/>
    <n v="5924"/>
    <n v="247243"/>
  </r>
  <r>
    <x v="24"/>
    <s v="Twitter"/>
    <n v="791"/>
    <n v="214"/>
    <n v="114738"/>
    <n v="6.62"/>
    <n v="25347"/>
    <n v="115315"/>
  </r>
  <r>
    <x v="24"/>
    <s v="YouTube"/>
    <n v="793"/>
    <n v="111"/>
    <n v="333500"/>
    <n v="6.36"/>
    <n v="8910"/>
    <n v="334182"/>
  </r>
  <r>
    <x v="25"/>
    <s v="Instagram"/>
    <n v="663"/>
    <n v="213"/>
    <n v="352677"/>
    <n v="9"/>
    <n v="20438"/>
    <n v="353127"/>
  </r>
  <r>
    <x v="25"/>
    <s v="Twitter"/>
    <n v="954"/>
    <n v="271"/>
    <n v="160936"/>
    <n v="8.83"/>
    <n v="8760"/>
    <n v="161619"/>
  </r>
  <r>
    <x v="25"/>
    <s v="YouTube"/>
    <n v="1313"/>
    <n v="159"/>
    <n v="197183"/>
    <n v="9.7100000000000009"/>
    <n v="6625"/>
    <n v="198337"/>
  </r>
  <r>
    <x v="26"/>
    <s v="Instagram"/>
    <n v="895"/>
    <n v="87"/>
    <n v="171271"/>
    <n v="6.68"/>
    <n v="23329"/>
    <n v="172079"/>
  </r>
  <r>
    <x v="26"/>
    <s v="Twitter"/>
    <n v="1027"/>
    <n v="156"/>
    <n v="111293"/>
    <n v="5.51"/>
    <n v="7299"/>
    <n v="112164"/>
  </r>
  <r>
    <x v="26"/>
    <s v="YouTube"/>
    <n v="990"/>
    <n v="286"/>
    <n v="351493"/>
    <n v="7.97"/>
    <n v="14496"/>
    <n v="352197"/>
  </r>
  <r>
    <x v="27"/>
    <s v="Instagram"/>
    <n v="875"/>
    <n v="264"/>
    <n v="345631"/>
    <n v="9.18"/>
    <n v="25703"/>
    <n v="346242"/>
  </r>
  <r>
    <x v="27"/>
    <s v="Twitter"/>
    <n v="599"/>
    <n v="194"/>
    <n v="105622"/>
    <n v="6.44"/>
    <n v="15108"/>
    <n v="106027"/>
  </r>
  <r>
    <x v="27"/>
    <s v="YouTube"/>
    <n v="630"/>
    <n v="248"/>
    <n v="119054"/>
    <n v="5.0199999999999996"/>
    <n v="18867"/>
    <n v="119436"/>
  </r>
  <r>
    <x v="28"/>
    <s v="Instagram"/>
    <n v="1350"/>
    <n v="233"/>
    <n v="171670"/>
    <n v="4.53"/>
    <n v="17574"/>
    <n v="172787"/>
  </r>
  <r>
    <x v="28"/>
    <s v="Twitter"/>
    <n v="632"/>
    <n v="155"/>
    <n v="170432"/>
    <n v="9.17"/>
    <n v="12840"/>
    <n v="170909"/>
  </r>
  <r>
    <x v="28"/>
    <s v="YouTube"/>
    <n v="1182"/>
    <n v="83"/>
    <n v="140300"/>
    <n v="3.27"/>
    <n v="21079"/>
    <n v="141399"/>
  </r>
  <r>
    <x v="29"/>
    <s v="Instagram"/>
    <n v="661"/>
    <n v="94"/>
    <n v="116538"/>
    <n v="5.31"/>
    <n v="23486"/>
    <n v="117105"/>
  </r>
  <r>
    <x v="29"/>
    <s v="Twitter"/>
    <n v="1360"/>
    <n v="227"/>
    <n v="176902"/>
    <n v="6.03"/>
    <n v="5960"/>
    <n v="178035"/>
  </r>
  <r>
    <x v="29"/>
    <s v="YouTube"/>
    <n v="935"/>
    <n v="85"/>
    <n v="326821"/>
    <n v="8.89"/>
    <n v="13301"/>
    <n v="327671"/>
  </r>
  <r>
    <x v="30"/>
    <s v="Instagram"/>
    <n v="664"/>
    <n v="251"/>
    <n v="240598"/>
    <n v="4.79"/>
    <n v="10563"/>
    <n v="241011"/>
  </r>
  <r>
    <x v="30"/>
    <s v="Twitter"/>
    <n v="1490"/>
    <n v="103"/>
    <n v="373274"/>
    <n v="4.8"/>
    <n v="19949"/>
    <n v="374661"/>
  </r>
  <r>
    <x v="30"/>
    <s v="YouTube"/>
    <n v="601"/>
    <n v="64"/>
    <n v="123272"/>
    <n v="4.07"/>
    <n v="14273"/>
    <n v="123809"/>
  </r>
  <r>
    <x v="31"/>
    <s v="Instagram"/>
    <n v="613"/>
    <n v="170"/>
    <n v="139266"/>
    <n v="6.06"/>
    <n v="9247"/>
    <n v="139709"/>
  </r>
  <r>
    <x v="31"/>
    <s v="Twitter"/>
    <n v="1340"/>
    <n v="57"/>
    <n v="155927"/>
    <n v="7.79"/>
    <n v="11972"/>
    <n v="157210"/>
  </r>
  <r>
    <x v="31"/>
    <s v="YouTube"/>
    <n v="953"/>
    <n v="228"/>
    <n v="258398"/>
    <n v="9.0500000000000007"/>
    <n v="13314"/>
    <n v="259123"/>
  </r>
  <r>
    <x v="32"/>
    <s v="Instagram"/>
    <n v="532"/>
    <n v="65"/>
    <n v="338561"/>
    <n v="3.5"/>
    <n v="14749"/>
    <n v="339028"/>
  </r>
  <r>
    <x v="32"/>
    <s v="Twitter"/>
    <n v="1414"/>
    <n v="60"/>
    <n v="341856"/>
    <n v="8.76"/>
    <n v="6868"/>
    <n v="343210"/>
  </r>
  <r>
    <x v="32"/>
    <s v="YouTube"/>
    <n v="685"/>
    <n v="165"/>
    <n v="175860"/>
    <n v="6.26"/>
    <n v="6027"/>
    <n v="176380"/>
  </r>
  <r>
    <x v="33"/>
    <s v="Instagram"/>
    <n v="601"/>
    <n v="159"/>
    <n v="327722"/>
    <n v="3.33"/>
    <n v="25267"/>
    <n v="328164"/>
  </r>
  <r>
    <x v="33"/>
    <s v="Twitter"/>
    <n v="841"/>
    <n v="295"/>
    <n v="271638"/>
    <n v="9.15"/>
    <n v="5900"/>
    <n v="272184"/>
  </r>
  <r>
    <x v="33"/>
    <s v="YouTube"/>
    <n v="1105"/>
    <n v="261"/>
    <n v="333851"/>
    <n v="6.03"/>
    <n v="11181"/>
    <n v="334695"/>
  </r>
  <r>
    <x v="34"/>
    <s v="Instagram"/>
    <n v="566"/>
    <n v="225"/>
    <n v="368984"/>
    <n v="9.82"/>
    <n v="9592"/>
    <n v="369325"/>
  </r>
  <r>
    <x v="34"/>
    <s v="Twitter"/>
    <n v="1149"/>
    <n v="280"/>
    <n v="167310"/>
    <n v="3.7"/>
    <n v="5291"/>
    <n v="168179"/>
  </r>
  <r>
    <x v="34"/>
    <s v="YouTube"/>
    <n v="819"/>
    <n v="101"/>
    <n v="194811"/>
    <n v="3.35"/>
    <n v="22244"/>
    <n v="195529"/>
  </r>
  <r>
    <x v="35"/>
    <s v="Instagram"/>
    <n v="795"/>
    <n v="60"/>
    <n v="314982"/>
    <n v="7.31"/>
    <n v="6824"/>
    <n v="315717"/>
  </r>
  <r>
    <x v="35"/>
    <s v="Twitter"/>
    <n v="681"/>
    <n v="158"/>
    <n v="75960"/>
    <n v="3.13"/>
    <n v="24112"/>
    <n v="76483"/>
  </r>
  <r>
    <x v="35"/>
    <s v="YouTube"/>
    <n v="534"/>
    <n v="112"/>
    <n v="360759"/>
    <n v="4.8899999999999997"/>
    <n v="25478"/>
    <n v="361181"/>
  </r>
  <r>
    <x v="36"/>
    <s v="Instagram"/>
    <n v="1066"/>
    <n v="151"/>
    <n v="297090"/>
    <n v="8.6300000000000008"/>
    <n v="11235"/>
    <n v="298005"/>
  </r>
  <r>
    <x v="36"/>
    <s v="Twitter"/>
    <n v="1270"/>
    <n v="162"/>
    <n v="92040"/>
    <n v="8.0299999999999994"/>
    <n v="6120"/>
    <n v="93148"/>
  </r>
  <r>
    <x v="36"/>
    <s v="YouTube"/>
    <n v="536"/>
    <n v="198"/>
    <n v="174610"/>
    <n v="7.85"/>
    <n v="20572"/>
    <n v="174948"/>
  </r>
  <r>
    <x v="37"/>
    <s v="Instagram"/>
    <n v="819"/>
    <n v="95"/>
    <n v="177376"/>
    <n v="6.12"/>
    <n v="14975"/>
    <n v="178100"/>
  </r>
  <r>
    <x v="37"/>
    <s v="Twitter"/>
    <n v="681"/>
    <n v="218"/>
    <n v="198882"/>
    <n v="7.16"/>
    <n v="22234"/>
    <n v="199345"/>
  </r>
  <r>
    <x v="37"/>
    <s v="YouTube"/>
    <n v="646"/>
    <n v="290"/>
    <n v="336383"/>
    <n v="7.04"/>
    <n v="6532"/>
    <n v="336739"/>
  </r>
  <r>
    <x v="38"/>
    <s v="Instagram"/>
    <n v="645"/>
    <n v="267"/>
    <n v="346890"/>
    <n v="3.71"/>
    <n v="24858"/>
    <n v="347268"/>
  </r>
  <r>
    <x v="38"/>
    <s v="Twitter"/>
    <n v="886"/>
    <n v="250"/>
    <n v="168170"/>
    <n v="4.12"/>
    <n v="13883"/>
    <n v="168806"/>
  </r>
  <r>
    <x v="38"/>
    <s v="YouTube"/>
    <n v="978"/>
    <n v="279"/>
    <n v="368872"/>
    <n v="6.82"/>
    <n v="18654"/>
    <n v="369571"/>
  </r>
  <r>
    <x v="39"/>
    <s v="Instagram"/>
    <n v="1444"/>
    <n v="165"/>
    <n v="116436"/>
    <n v="8.2200000000000006"/>
    <n v="25234"/>
    <n v="117715"/>
  </r>
  <r>
    <x v="39"/>
    <s v="Twitter"/>
    <n v="1234"/>
    <n v="228"/>
    <n v="127502"/>
    <n v="7.71"/>
    <n v="6772"/>
    <n v="128508"/>
  </r>
  <r>
    <x v="39"/>
    <s v="YouTube"/>
    <n v="665"/>
    <n v="187"/>
    <n v="274567"/>
    <n v="7.39"/>
    <n v="22428"/>
    <n v="275045"/>
  </r>
  <r>
    <x v="40"/>
    <s v="Instagram"/>
    <n v="631"/>
    <n v="86"/>
    <n v="295090"/>
    <n v="7.89"/>
    <n v="11911"/>
    <n v="295635"/>
  </r>
  <r>
    <x v="40"/>
    <s v="Twitter"/>
    <n v="1159"/>
    <n v="154"/>
    <n v="194994"/>
    <n v="6.39"/>
    <n v="21900"/>
    <n v="195999"/>
  </r>
  <r>
    <x v="40"/>
    <s v="YouTube"/>
    <n v="950"/>
    <n v="185"/>
    <n v="340750"/>
    <n v="6.77"/>
    <n v="25542"/>
    <n v="341515"/>
  </r>
  <r>
    <x v="41"/>
    <s v="Instagram"/>
    <n v="693"/>
    <n v="129"/>
    <n v="296031"/>
    <n v="3.41"/>
    <n v="7140"/>
    <n v="296595"/>
  </r>
  <r>
    <x v="41"/>
    <s v="Twitter"/>
    <n v="576"/>
    <n v="80"/>
    <n v="345688"/>
    <n v="4.1100000000000003"/>
    <n v="20474"/>
    <n v="346184"/>
  </r>
  <r>
    <x v="41"/>
    <s v="YouTube"/>
    <n v="1274"/>
    <n v="146"/>
    <n v="263488"/>
    <n v="9.58"/>
    <n v="8698"/>
    <n v="264616"/>
  </r>
  <r>
    <x v="42"/>
    <s v="Instagram"/>
    <n v="818"/>
    <n v="253"/>
    <n v="184911"/>
    <n v="3.39"/>
    <n v="10402"/>
    <n v="185476"/>
  </r>
  <r>
    <x v="42"/>
    <s v="Twitter"/>
    <n v="975"/>
    <n v="162"/>
    <n v="124497"/>
    <n v="9.58"/>
    <n v="26618"/>
    <n v="125310"/>
  </r>
  <r>
    <x v="42"/>
    <s v="YouTube"/>
    <n v="1398"/>
    <n v="97"/>
    <n v="397607"/>
    <n v="5.09"/>
    <n v="7975"/>
    <n v="398908"/>
  </r>
  <r>
    <x v="43"/>
    <s v="Instagram"/>
    <n v="591"/>
    <n v="155"/>
    <n v="138521"/>
    <n v="7.85"/>
    <n v="19054"/>
    <n v="138957"/>
  </r>
  <r>
    <x v="43"/>
    <s v="Twitter"/>
    <n v="1232"/>
    <n v="254"/>
    <n v="107718"/>
    <n v="9.7100000000000009"/>
    <n v="13740"/>
    <n v="108696"/>
  </r>
  <r>
    <x v="43"/>
    <s v="YouTube"/>
    <n v="1425"/>
    <n v="58"/>
    <n v="202234"/>
    <n v="6.67"/>
    <n v="18442"/>
    <n v="203601"/>
  </r>
  <r>
    <x v="44"/>
    <s v="Instagram"/>
    <n v="1417"/>
    <n v="80"/>
    <n v="340987"/>
    <n v="6.13"/>
    <n v="10104"/>
    <n v="342324"/>
  </r>
  <r>
    <x v="44"/>
    <s v="Twitter"/>
    <n v="1222"/>
    <n v="208"/>
    <n v="340098"/>
    <n v="7.34"/>
    <n v="21771"/>
    <n v="341112"/>
  </r>
  <r>
    <x v="44"/>
    <s v="YouTube"/>
    <n v="1071"/>
    <n v="131"/>
    <n v="254727"/>
    <n v="6.87"/>
    <n v="22191"/>
    <n v="255667"/>
  </r>
  <r>
    <x v="45"/>
    <s v="Instagram"/>
    <n v="772"/>
    <n v="82"/>
    <n v="345659"/>
    <n v="3.52"/>
    <n v="27753"/>
    <n v="346349"/>
  </r>
  <r>
    <x v="45"/>
    <s v="Twitter"/>
    <n v="1472"/>
    <n v="137"/>
    <n v="213950"/>
    <n v="6.96"/>
    <n v="23736"/>
    <n v="215285"/>
  </r>
  <r>
    <x v="45"/>
    <s v="YouTube"/>
    <n v="1472"/>
    <n v="281"/>
    <n v="258115"/>
    <n v="7.23"/>
    <n v="27393"/>
    <n v="259306"/>
  </r>
  <r>
    <x v="46"/>
    <s v="Instagram"/>
    <n v="585"/>
    <n v="232"/>
    <n v="321258"/>
    <n v="7.42"/>
    <n v="10343"/>
    <n v="321611"/>
  </r>
  <r>
    <x v="46"/>
    <s v="Twitter"/>
    <n v="747"/>
    <n v="261"/>
    <n v="338650"/>
    <n v="7.73"/>
    <n v="25259"/>
    <n v="339136"/>
  </r>
  <r>
    <x v="46"/>
    <s v="YouTube"/>
    <n v="1113"/>
    <n v="224"/>
    <n v="272989"/>
    <n v="5.13"/>
    <n v="24827"/>
    <n v="273878"/>
  </r>
  <r>
    <x v="47"/>
    <s v="Instagram"/>
    <n v="1100"/>
    <n v="117"/>
    <n v="260204"/>
    <n v="4.4000000000000004"/>
    <n v="11908"/>
    <n v="261187"/>
  </r>
  <r>
    <x v="47"/>
    <s v="Twitter"/>
    <n v="751"/>
    <n v="170"/>
    <n v="283278"/>
    <n v="3.49"/>
    <n v="11005"/>
    <n v="283859"/>
  </r>
  <r>
    <x v="47"/>
    <s v="YouTube"/>
    <n v="864"/>
    <n v="50"/>
    <n v="277445"/>
    <n v="3.57"/>
    <n v="26333"/>
    <n v="278259"/>
  </r>
  <r>
    <x v="48"/>
    <s v="Instagram"/>
    <n v="1146"/>
    <n v="227"/>
    <n v="353781"/>
    <n v="6.41"/>
    <n v="5495"/>
    <n v="354700"/>
  </r>
  <r>
    <x v="48"/>
    <s v="Twitter"/>
    <n v="883"/>
    <n v="207"/>
    <n v="265019"/>
    <n v="6.04"/>
    <n v="15655"/>
    <n v="265695"/>
  </r>
  <r>
    <x v="48"/>
    <s v="YouTube"/>
    <n v="622"/>
    <n v="163"/>
    <n v="231925"/>
    <n v="9.18"/>
    <n v="13763"/>
    <n v="232384"/>
  </r>
  <r>
    <x v="49"/>
    <s v="Instagram"/>
    <n v="837"/>
    <n v="261"/>
    <n v="366149"/>
    <n v="6.54"/>
    <n v="26073"/>
    <n v="366725"/>
  </r>
  <r>
    <x v="49"/>
    <s v="Twitter"/>
    <n v="544"/>
    <n v="97"/>
    <n v="168375"/>
    <n v="8.66"/>
    <n v="12774"/>
    <n v="168822"/>
  </r>
  <r>
    <x v="49"/>
    <s v="YouTube"/>
    <n v="624"/>
    <n v="247"/>
    <n v="252763"/>
    <n v="3.89"/>
    <n v="19000"/>
    <n v="253140"/>
  </r>
  <r>
    <x v="50"/>
    <s v="Instagram"/>
    <n v="1073"/>
    <n v="141"/>
    <n v="118393"/>
    <n v="7.95"/>
    <n v="14051"/>
    <n v="119325"/>
  </r>
  <r>
    <x v="50"/>
    <s v="Twitter"/>
    <n v="1430"/>
    <n v="74"/>
    <n v="327012"/>
    <n v="6.66"/>
    <n v="27782"/>
    <n v="328368"/>
  </r>
  <r>
    <x v="50"/>
    <s v="YouTube"/>
    <n v="1358"/>
    <n v="77"/>
    <n v="169688"/>
    <n v="5.25"/>
    <n v="7859"/>
    <n v="170969"/>
  </r>
  <r>
    <x v="51"/>
    <s v="Instagram"/>
    <n v="1242"/>
    <n v="201"/>
    <n v="271935"/>
    <n v="5.07"/>
    <n v="15773"/>
    <n v="272976"/>
  </r>
  <r>
    <x v="51"/>
    <s v="Twitter"/>
    <n v="1389"/>
    <n v="205"/>
    <n v="315981"/>
    <n v="7.62"/>
    <n v="20595"/>
    <n v="317165"/>
  </r>
  <r>
    <x v="51"/>
    <s v="YouTube"/>
    <n v="826"/>
    <n v="142"/>
    <n v="341016"/>
    <n v="7.44"/>
    <n v="12031"/>
    <n v="341700"/>
  </r>
  <r>
    <x v="52"/>
    <s v="Instagram"/>
    <n v="618"/>
    <n v="264"/>
    <n v="285164"/>
    <n v="4.8600000000000003"/>
    <n v="15128"/>
    <n v="285518"/>
  </r>
  <r>
    <x v="52"/>
    <s v="Twitter"/>
    <n v="1419"/>
    <n v="293"/>
    <n v="116632"/>
    <n v="6.93"/>
    <n v="11826"/>
    <n v="117758"/>
  </r>
  <r>
    <x v="52"/>
    <s v="YouTube"/>
    <n v="637"/>
    <n v="68"/>
    <n v="115694"/>
    <n v="9.99"/>
    <n v="12562"/>
    <n v="116263"/>
  </r>
  <r>
    <x v="53"/>
    <s v="Instagram"/>
    <n v="917"/>
    <n v="187"/>
    <n v="64444"/>
    <n v="5.22"/>
    <n v="13013"/>
    <n v="65174"/>
  </r>
  <r>
    <x v="53"/>
    <s v="Twitter"/>
    <n v="810"/>
    <n v="232"/>
    <n v="362559"/>
    <n v="5.17"/>
    <n v="12937"/>
    <n v="363137"/>
  </r>
  <r>
    <x v="53"/>
    <s v="YouTube"/>
    <n v="1183"/>
    <n v="248"/>
    <n v="226881"/>
    <n v="5.17"/>
    <n v="14534"/>
    <n v="227816"/>
  </r>
  <r>
    <x v="54"/>
    <s v="Instagram"/>
    <n v="765"/>
    <n v="67"/>
    <n v="283537"/>
    <n v="6.18"/>
    <n v="8182"/>
    <n v="284235"/>
  </r>
  <r>
    <x v="54"/>
    <s v="Twitter"/>
    <n v="540"/>
    <n v="215"/>
    <n v="62837"/>
    <n v="5.3"/>
    <n v="10615"/>
    <n v="63162"/>
  </r>
  <r>
    <x v="54"/>
    <s v="YouTube"/>
    <n v="1145"/>
    <n v="151"/>
    <n v="182759"/>
    <n v="5.99"/>
    <n v="20109"/>
    <n v="183753"/>
  </r>
  <r>
    <x v="55"/>
    <s v="Instagram"/>
    <n v="564"/>
    <n v="244"/>
    <n v="279405"/>
    <n v="8.43"/>
    <n v="26024"/>
    <n v="279725"/>
  </r>
  <r>
    <x v="55"/>
    <s v="Twitter"/>
    <n v="668"/>
    <n v="124"/>
    <n v="257485"/>
    <n v="7.55"/>
    <n v="26730"/>
    <n v="258029"/>
  </r>
  <r>
    <x v="55"/>
    <s v="YouTube"/>
    <n v="761"/>
    <n v="241"/>
    <n v="154977"/>
    <n v="5.63"/>
    <n v="10563"/>
    <n v="155497"/>
  </r>
  <r>
    <x v="56"/>
    <s v="Instagram"/>
    <n v="593"/>
    <n v="108"/>
    <n v="216500"/>
    <n v="4.71"/>
    <n v="27575"/>
    <n v="216985"/>
  </r>
  <r>
    <x v="56"/>
    <s v="Twitter"/>
    <n v="1349"/>
    <n v="115"/>
    <n v="102102"/>
    <n v="5.28"/>
    <n v="14479"/>
    <n v="103336"/>
  </r>
  <r>
    <x v="56"/>
    <s v="YouTube"/>
    <n v="693"/>
    <n v="97"/>
    <n v="92025"/>
    <n v="5.95"/>
    <n v="15915"/>
    <n v="92621"/>
  </r>
  <r>
    <x v="57"/>
    <s v="Instagram"/>
    <n v="974"/>
    <n v="143"/>
    <n v="247965"/>
    <n v="9.98"/>
    <n v="12767"/>
    <n v="248796"/>
  </r>
  <r>
    <x v="57"/>
    <s v="Twitter"/>
    <n v="1155"/>
    <n v="122"/>
    <n v="387352"/>
    <n v="9.93"/>
    <n v="12170"/>
    <n v="388385"/>
  </r>
  <r>
    <x v="57"/>
    <s v="YouTube"/>
    <n v="1051"/>
    <n v="246"/>
    <n v="253985"/>
    <n v="9.08"/>
    <n v="7245"/>
    <n v="254790"/>
  </r>
  <r>
    <x v="58"/>
    <s v="Instagram"/>
    <n v="1457"/>
    <n v="183"/>
    <n v="129640"/>
    <n v="7.98"/>
    <n v="12985"/>
    <n v="130914"/>
  </r>
  <r>
    <x v="58"/>
    <s v="Twitter"/>
    <n v="670"/>
    <n v="242"/>
    <n v="281913"/>
    <n v="9.6199999999999992"/>
    <n v="16377"/>
    <n v="282341"/>
  </r>
  <r>
    <x v="58"/>
    <s v="YouTube"/>
    <n v="1111"/>
    <n v="159"/>
    <n v="360770"/>
    <n v="8.7100000000000009"/>
    <n v="11453"/>
    <n v="361722"/>
  </r>
  <r>
    <x v="59"/>
    <s v="Instagram"/>
    <n v="1197"/>
    <n v="246"/>
    <n v="127273"/>
    <n v="6.69"/>
    <n v="12323"/>
    <n v="128224"/>
  </r>
  <r>
    <x v="59"/>
    <s v="Twitter"/>
    <n v="754"/>
    <n v="150"/>
    <n v="189622"/>
    <n v="4.25"/>
    <n v="11911"/>
    <n v="190226"/>
  </r>
  <r>
    <x v="59"/>
    <s v="YouTube"/>
    <n v="1246"/>
    <n v="107"/>
    <n v="350949"/>
    <n v="4.9800000000000004"/>
    <n v="27809"/>
    <n v="352088"/>
  </r>
  <r>
    <x v="60"/>
    <s v="Instagram"/>
    <n v="780"/>
    <n v="213"/>
    <n v="121431"/>
    <n v="4.97"/>
    <n v="21464"/>
    <n v="121998"/>
  </r>
  <r>
    <x v="60"/>
    <s v="Twitter"/>
    <n v="1425"/>
    <n v="143"/>
    <n v="116742"/>
    <n v="3.71"/>
    <n v="27126"/>
    <n v="118024"/>
  </r>
  <r>
    <x v="60"/>
    <s v="YouTube"/>
    <n v="1490"/>
    <n v="103"/>
    <n v="81184"/>
    <n v="7.79"/>
    <n v="10681"/>
    <n v="82571"/>
  </r>
  <r>
    <x v="61"/>
    <s v="Instagram"/>
    <n v="949"/>
    <n v="282"/>
    <n v="87126"/>
    <n v="4.96"/>
    <n v="5413"/>
    <n v="87793"/>
  </r>
  <r>
    <x v="61"/>
    <s v="Twitter"/>
    <n v="640"/>
    <n v="141"/>
    <n v="267546"/>
    <n v="8.58"/>
    <n v="25058"/>
    <n v="268045"/>
  </r>
  <r>
    <x v="61"/>
    <s v="YouTube"/>
    <n v="616"/>
    <n v="93"/>
    <n v="133082"/>
    <n v="8.51"/>
    <n v="18303"/>
    <n v="133605"/>
  </r>
  <r>
    <x v="62"/>
    <s v="Instagram"/>
    <n v="1080"/>
    <n v="184"/>
    <n v="340557"/>
    <n v="5.41"/>
    <n v="5526"/>
    <n v="341453"/>
  </r>
  <r>
    <x v="62"/>
    <s v="Twitter"/>
    <n v="938"/>
    <n v="236"/>
    <n v="116472"/>
    <n v="8.7200000000000006"/>
    <n v="17460"/>
    <n v="117174"/>
  </r>
  <r>
    <x v="62"/>
    <s v="YouTube"/>
    <n v="1007"/>
    <n v="258"/>
    <n v="113412"/>
    <n v="7.71"/>
    <n v="14475"/>
    <n v="114161"/>
  </r>
  <r>
    <x v="63"/>
    <s v="Instagram"/>
    <n v="541"/>
    <n v="208"/>
    <n v="157547"/>
    <n v="8.35"/>
    <n v="20162"/>
    <n v="157880"/>
  </r>
  <r>
    <x v="63"/>
    <s v="Twitter"/>
    <n v="745"/>
    <n v="98"/>
    <n v="354816"/>
    <n v="4.03"/>
    <n v="17103"/>
    <n v="355463"/>
  </r>
  <r>
    <x v="63"/>
    <s v="YouTube"/>
    <n v="936"/>
    <n v="97"/>
    <n v="151799"/>
    <n v="9.3699999999999992"/>
    <n v="15461"/>
    <n v="152638"/>
  </r>
  <r>
    <x v="64"/>
    <s v="Instagram"/>
    <n v="1183"/>
    <n v="223"/>
    <n v="143811"/>
    <n v="6.07"/>
    <n v="22103"/>
    <n v="144771"/>
  </r>
  <r>
    <x v="64"/>
    <s v="Twitter"/>
    <n v="1413"/>
    <n v="245"/>
    <n v="296450"/>
    <n v="6.52"/>
    <n v="11625"/>
    <n v="297618"/>
  </r>
  <r>
    <x v="64"/>
    <s v="YouTube"/>
    <n v="791"/>
    <n v="273"/>
    <n v="144049"/>
    <n v="3.08"/>
    <n v="5281"/>
    <n v="144567"/>
  </r>
  <r>
    <x v="65"/>
    <s v="Instagram"/>
    <n v="1052"/>
    <n v="180"/>
    <n v="272534"/>
    <n v="5.34"/>
    <n v="13424"/>
    <n v="273406"/>
  </r>
  <r>
    <x v="65"/>
    <s v="Twitter"/>
    <n v="572"/>
    <n v="270"/>
    <n v="82265"/>
    <n v="3.65"/>
    <n v="13140"/>
    <n v="82567"/>
  </r>
  <r>
    <x v="65"/>
    <s v="YouTube"/>
    <n v="503"/>
    <n v="253"/>
    <n v="313562"/>
    <n v="4.18"/>
    <n v="19538"/>
    <n v="313812"/>
  </r>
  <r>
    <x v="66"/>
    <s v="Instagram"/>
    <n v="1017"/>
    <n v="197"/>
    <n v="89918"/>
    <n v="3.91"/>
    <n v="7881"/>
    <n v="90738"/>
  </r>
  <r>
    <x v="66"/>
    <s v="Twitter"/>
    <n v="860"/>
    <n v="244"/>
    <n v="348686"/>
    <n v="5.12"/>
    <n v="11418"/>
    <n v="3493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25896"/>
    <n v="242060.33333333334"/>
  </r>
  <r>
    <x v="0"/>
    <s v="Twitter"/>
    <n v="995"/>
    <n v="86"/>
    <n v="227958"/>
    <n v="8.0500000000000007"/>
    <n v="22788"/>
    <n v="228867"/>
    <n v="231229"/>
  </r>
  <r>
    <x v="0"/>
    <s v="YouTube"/>
    <n v="1472"/>
    <n v="296"/>
    <n v="370242"/>
    <n v="7.72"/>
    <n v="7810"/>
    <n v="371418"/>
    <n v="265039.66666666669"/>
  </r>
  <r>
    <x v="1"/>
    <s v="Instagram"/>
    <n v="1018"/>
    <n v="90"/>
    <n v="92474"/>
    <n v="9.4"/>
    <n v="11966"/>
    <n v="93402"/>
    <n v="271924.66666666669"/>
  </r>
  <r>
    <x v="1"/>
    <s v="Twitter"/>
    <n v="1461"/>
    <n v="64"/>
    <n v="328902"/>
    <n v="9.02"/>
    <n v="26298"/>
    <n v="330299"/>
    <n v="272949"/>
  </r>
  <r>
    <x v="1"/>
    <s v="YouTube"/>
    <n v="545"/>
    <n v="93"/>
    <n v="391621"/>
    <n v="9.9600000000000009"/>
    <n v="22029"/>
    <n v="392073"/>
    <n v="245259.33333333334"/>
  </r>
  <r>
    <x v="2"/>
    <s v="Instagram"/>
    <n v="881"/>
    <n v="291"/>
    <n v="95885"/>
    <n v="5.29"/>
    <n v="12391"/>
    <n v="96475"/>
    <n v="198478.33333333334"/>
  </r>
  <r>
    <x v="2"/>
    <s v="Twitter"/>
    <n v="1414"/>
    <n v="131"/>
    <n v="245947"/>
    <n v="8.3000000000000007"/>
    <n v="14477"/>
    <n v="247230"/>
    <n v="195586"/>
  </r>
  <r>
    <x v="2"/>
    <s v="YouTube"/>
    <n v="1472"/>
    <n v="170"/>
    <n v="250428"/>
    <n v="4.66"/>
    <n v="25040"/>
    <n v="251730"/>
    <n v="156423"/>
  </r>
  <r>
    <x v="3"/>
    <s v="Instagram"/>
    <n v="809"/>
    <n v="197"/>
    <n v="87186"/>
    <n v="9.48"/>
    <n v="22619"/>
    <n v="87798"/>
    <n v="114751.33333333333"/>
  </r>
  <r>
    <x v="3"/>
    <s v="Twitter"/>
    <n v="1371"/>
    <n v="250"/>
    <n v="128620"/>
    <n v="7.11"/>
    <n v="12399"/>
    <n v="129741"/>
    <n v="145261.66666666666"/>
  </r>
  <r>
    <x v="3"/>
    <s v="YouTube"/>
    <n v="844"/>
    <n v="144"/>
    <n v="126015"/>
    <n v="9.65"/>
    <n v="22456"/>
    <n v="126715"/>
    <n v="174955.66666666666"/>
  </r>
  <r>
    <x v="4"/>
    <s v="Instagram"/>
    <n v="786"/>
    <n v="72"/>
    <n v="178615"/>
    <n v="5.43"/>
    <n v="19328"/>
    <n v="179329"/>
    <n v="233222"/>
  </r>
  <r>
    <x v="4"/>
    <s v="Twitter"/>
    <n v="845"/>
    <n v="250"/>
    <n v="218228"/>
    <n v="4.5199999999999996"/>
    <n v="21107"/>
    <n v="218823"/>
    <n v="287041.66666666669"/>
  </r>
  <r>
    <x v="4"/>
    <s v="YouTube"/>
    <n v="1218"/>
    <n v="101"/>
    <n v="300397"/>
    <n v="4.33"/>
    <n v="12277"/>
    <n v="301514"/>
    <n v="240179.66666666666"/>
  </r>
  <r>
    <x v="5"/>
    <s v="Instagram"/>
    <n v="797"/>
    <n v="130"/>
    <n v="340121"/>
    <n v="8.52"/>
    <n v="11684"/>
    <n v="340788"/>
    <n v="204424.33333333334"/>
  </r>
  <r>
    <x v="5"/>
    <s v="Twitter"/>
    <n v="1471"/>
    <n v="100"/>
    <n v="76866"/>
    <n v="8.5500000000000007"/>
    <n v="14412"/>
    <n v="78237"/>
    <n v="147503"/>
  </r>
  <r>
    <x v="5"/>
    <s v="YouTube"/>
    <n v="1253"/>
    <n v="136"/>
    <n v="193131"/>
    <n v="7.99"/>
    <n v="15924"/>
    <n v="194248"/>
    <n v="209699.66666666666"/>
  </r>
  <r>
    <x v="6"/>
    <s v="Instagram"/>
    <n v="616"/>
    <n v="257"/>
    <n v="169665"/>
    <n v="6.31"/>
    <n v="12390"/>
    <n v="170024"/>
    <n v="214228"/>
  </r>
  <r>
    <x v="6"/>
    <s v="Twitter"/>
    <n v="1308"/>
    <n v="210"/>
    <n v="263729"/>
    <n v="8.5299999999999994"/>
    <n v="25742"/>
    <n v="264827"/>
    <n v="225857.66666666666"/>
  </r>
  <r>
    <x v="6"/>
    <s v="YouTube"/>
    <n v="981"/>
    <n v="69"/>
    <n v="206921"/>
    <n v="8.42"/>
    <n v="10495"/>
    <n v="207833"/>
    <n v="226486.66666666666"/>
  </r>
  <r>
    <x v="7"/>
    <s v="Instagram"/>
    <n v="866"/>
    <n v="74"/>
    <n v="204121"/>
    <n v="9.34"/>
    <n v="7797"/>
    <n v="204913"/>
    <n v="284452.66666666669"/>
  </r>
  <r>
    <x v="7"/>
    <s v="Twitter"/>
    <n v="547"/>
    <n v="183"/>
    <n v="266350"/>
    <n v="5.65"/>
    <n v="15595"/>
    <n v="266714"/>
    <n v="341890.66666666669"/>
  </r>
  <r>
    <x v="7"/>
    <s v="YouTube"/>
    <n v="1241"/>
    <n v="116"/>
    <n v="380606"/>
    <n v="4.2"/>
    <n v="24617"/>
    <n v="381731"/>
    <n v="279598.33333333331"/>
  </r>
  <r>
    <x v="8"/>
    <s v="Instagram"/>
    <n v="973"/>
    <n v="104"/>
    <n v="376358"/>
    <n v="3.87"/>
    <n v="9847"/>
    <n v="377227"/>
    <n v="270030.33333333331"/>
  </r>
  <r>
    <x v="8"/>
    <s v="Twitter"/>
    <n v="611"/>
    <n v="197"/>
    <n v="79423"/>
    <n v="5.82"/>
    <n v="13644"/>
    <n v="79837"/>
    <n v="211617.66666666666"/>
  </r>
  <r>
    <x v="8"/>
    <s v="YouTube"/>
    <n v="983"/>
    <n v="134"/>
    <n v="352178"/>
    <n v="3.55"/>
    <n v="11421"/>
    <n v="353027"/>
    <n v="229451.33333333334"/>
  </r>
  <r>
    <x v="9"/>
    <s v="Instagram"/>
    <n v="1449"/>
    <n v="96"/>
    <n v="200636"/>
    <n v="9.92"/>
    <n v="15613"/>
    <n v="201989"/>
    <n v="218061"/>
  </r>
  <r>
    <x v="9"/>
    <s v="Twitter"/>
    <n v="752"/>
    <n v="170"/>
    <n v="132756"/>
    <n v="8.17"/>
    <n v="23900"/>
    <n v="133338"/>
    <n v="173965"/>
  </r>
  <r>
    <x v="9"/>
    <s v="YouTube"/>
    <n v="937"/>
    <n v="179"/>
    <n v="318098"/>
    <n v="5.3"/>
    <n v="5836"/>
    <n v="318856"/>
    <n v="168417.66666666666"/>
  </r>
  <r>
    <x v="10"/>
    <s v="Instagram"/>
    <n v="1060"/>
    <n v="83"/>
    <n v="68724"/>
    <n v="5.98"/>
    <n v="5624"/>
    <n v="69701"/>
    <n v="154674.33333333334"/>
  </r>
  <r>
    <x v="10"/>
    <s v="Twitter"/>
    <n v="1456"/>
    <n v="265"/>
    <n v="115505"/>
    <n v="7.49"/>
    <n v="10311"/>
    <n v="116696"/>
    <n v="249589.66666666666"/>
  </r>
  <r>
    <x v="10"/>
    <s v="YouTube"/>
    <n v="1109"/>
    <n v="205"/>
    <n v="276722"/>
    <n v="9.3800000000000008"/>
    <n v="8274"/>
    <n v="277626"/>
    <n v="231300"/>
  </r>
  <r>
    <x v="11"/>
    <s v="Instagram"/>
    <n v="1002"/>
    <n v="93"/>
    <n v="353538"/>
    <n v="5.84"/>
    <n v="6031"/>
    <n v="354447"/>
    <n v="194106"/>
  </r>
  <r>
    <x v="11"/>
    <s v="Twitter"/>
    <n v="571"/>
    <n v="189"/>
    <n v="61445"/>
    <n v="5.41"/>
    <n v="27829"/>
    <n v="61827"/>
    <n v="141162.66666666666"/>
  </r>
  <r>
    <x v="11"/>
    <s v="YouTube"/>
    <n v="1240"/>
    <n v="231"/>
    <n v="165035"/>
    <n v="6.05"/>
    <n v="18267"/>
    <n v="166044"/>
    <n v="199387"/>
  </r>
  <r>
    <x v="12"/>
    <s v="Instagram"/>
    <n v="1154"/>
    <n v="132"/>
    <n v="194595"/>
    <n v="7.54"/>
    <n v="26624"/>
    <n v="195617"/>
    <n v="234775.66666666666"/>
  </r>
  <r>
    <x v="12"/>
    <s v="Twitter"/>
    <n v="537"/>
    <n v="275"/>
    <n v="236238"/>
    <n v="5.87"/>
    <n v="26644"/>
    <n v="236500"/>
    <n v="281370.66666666669"/>
  </r>
  <r>
    <x v="12"/>
    <s v="YouTube"/>
    <n v="1456"/>
    <n v="290"/>
    <n v="271044"/>
    <n v="7.17"/>
    <n v="13051"/>
    <n v="272210"/>
    <n v="322572.66666666669"/>
  </r>
  <r>
    <x v="13"/>
    <s v="Instagram"/>
    <n v="721"/>
    <n v="206"/>
    <n v="334887"/>
    <n v="6.05"/>
    <n v="14217"/>
    <n v="335402"/>
    <n v="351611.33333333331"/>
  </r>
  <r>
    <x v="13"/>
    <s v="Twitter"/>
    <n v="1098"/>
    <n v="142"/>
    <n v="359150"/>
    <n v="7.51"/>
    <n v="16385"/>
    <n v="360106"/>
    <n v="362841"/>
  </r>
  <r>
    <x v="13"/>
    <s v="YouTube"/>
    <n v="1096"/>
    <n v="65"/>
    <n v="358295"/>
    <n v="7.66"/>
    <n v="24548"/>
    <n v="359326"/>
    <n v="332922.33333333331"/>
  </r>
  <r>
    <x v="14"/>
    <s v="Instagram"/>
    <n v="912"/>
    <n v="275"/>
    <n v="368454"/>
    <n v="6.03"/>
    <n v="9195"/>
    <n v="369091"/>
    <n v="317023"/>
  </r>
  <r>
    <x v="14"/>
    <s v="Twitter"/>
    <n v="1430"/>
    <n v="162"/>
    <n v="269082"/>
    <n v="3.4"/>
    <n v="18071"/>
    <n v="270350"/>
    <n v="277010"/>
  </r>
  <r>
    <x v="14"/>
    <s v="YouTube"/>
    <n v="854"/>
    <n v="129"/>
    <n v="310903"/>
    <n v="7.83"/>
    <n v="16875"/>
    <n v="311628"/>
    <n v="310995.33333333331"/>
  </r>
  <r>
    <x v="15"/>
    <s v="Instagram"/>
    <n v="681"/>
    <n v="210"/>
    <n v="248581"/>
    <n v="8.76"/>
    <n v="9567"/>
    <n v="249052"/>
    <n v="266403.33333333331"/>
  </r>
  <r>
    <x v="15"/>
    <s v="Twitter"/>
    <n v="1373"/>
    <n v="82"/>
    <n v="371015"/>
    <n v="9.52"/>
    <n v="20306"/>
    <n v="372306"/>
    <n v="210672"/>
  </r>
  <r>
    <x v="15"/>
    <s v="YouTube"/>
    <n v="685"/>
    <n v="285"/>
    <n v="177452"/>
    <n v="3.36"/>
    <n v="21134"/>
    <n v="177852"/>
    <n v="207783"/>
  </r>
  <r>
    <x v="16"/>
    <s v="Instagram"/>
    <n v="1290"/>
    <n v="177"/>
    <n v="80745"/>
    <n v="9.2200000000000006"/>
    <n v="26872"/>
    <n v="81858"/>
    <n v="263580.66666666669"/>
  </r>
  <r>
    <x v="16"/>
    <s v="Twitter"/>
    <n v="1437"/>
    <n v="239"/>
    <n v="362441"/>
    <n v="5.57"/>
    <n v="10253"/>
    <n v="363639"/>
    <n v="361656"/>
  </r>
  <r>
    <x v="16"/>
    <s v="YouTube"/>
    <n v="769"/>
    <n v="295"/>
    <n v="344771"/>
    <n v="8.06"/>
    <n v="23963"/>
    <n v="345245"/>
    <n v="300651.33333333331"/>
  </r>
  <r>
    <x v="17"/>
    <s v="Instagram"/>
    <n v="1416"/>
    <n v="284"/>
    <n v="374952"/>
    <n v="3.45"/>
    <n v="11335"/>
    <n v="376084"/>
    <n v="305488.33333333331"/>
  </r>
  <r>
    <x v="17"/>
    <s v="Twitter"/>
    <n v="998"/>
    <n v="154"/>
    <n v="179781"/>
    <n v="9.58"/>
    <n v="12115"/>
    <n v="180625"/>
    <n v="286744.66666666669"/>
  </r>
  <r>
    <x v="17"/>
    <s v="YouTube"/>
    <n v="1421"/>
    <n v="246"/>
    <n v="358581"/>
    <n v="8.8800000000000008"/>
    <n v="24358"/>
    <n v="359756"/>
    <n v="290728.33333333331"/>
  </r>
  <r>
    <x v="18"/>
    <s v="Instagram"/>
    <n v="764"/>
    <n v="205"/>
    <n v="319294"/>
    <n v="6.23"/>
    <n v="12181"/>
    <n v="319853"/>
    <n v="221705.33333333334"/>
  </r>
  <r>
    <x v="18"/>
    <s v="Twitter"/>
    <n v="678"/>
    <n v="124"/>
    <n v="192022"/>
    <n v="8.4499999999999993"/>
    <n v="17729"/>
    <n v="192576"/>
    <n v="178116"/>
  </r>
  <r>
    <x v="18"/>
    <s v="YouTube"/>
    <n v="1328"/>
    <n v="103"/>
    <n v="151462"/>
    <n v="8.4"/>
    <n v="10881"/>
    <n v="152687"/>
    <n v="211449.33333333334"/>
  </r>
  <r>
    <x v="19"/>
    <s v="Instagram"/>
    <n v="1161"/>
    <n v="269"/>
    <n v="188193"/>
    <n v="7.34"/>
    <n v="18576"/>
    <n v="189085"/>
    <n v="269409.33333333331"/>
  </r>
  <r>
    <x v="19"/>
    <s v="Twitter"/>
    <n v="588"/>
    <n v="52"/>
    <n v="292040"/>
    <n v="8.14"/>
    <n v="9383"/>
    <n v="292576"/>
    <n v="235646.66666666666"/>
  </r>
  <r>
    <x v="19"/>
    <s v="YouTube"/>
    <n v="1457"/>
    <n v="215"/>
    <n v="325325"/>
    <n v="9.58"/>
    <n v="14178"/>
    <n v="326567"/>
    <n v="185429"/>
  </r>
  <r>
    <x v="20"/>
    <s v="Instagram"/>
    <n v="1190"/>
    <n v="242"/>
    <n v="86849"/>
    <n v="8.06"/>
    <n v="21254"/>
    <n v="87797"/>
    <n v="126906"/>
  </r>
  <r>
    <x v="20"/>
    <s v="Twitter"/>
    <n v="886"/>
    <n v="124"/>
    <n v="141161"/>
    <n v="8.19"/>
    <n v="14215"/>
    <n v="141923"/>
    <n v="200876"/>
  </r>
  <r>
    <x v="20"/>
    <s v="YouTube"/>
    <n v="1237"/>
    <n v="155"/>
    <n v="149916"/>
    <n v="4.4800000000000004"/>
    <n v="16921"/>
    <n v="150998"/>
    <n v="251687.66666666666"/>
  </r>
  <r>
    <x v="21"/>
    <s v="Instagram"/>
    <n v="1435"/>
    <n v="261"/>
    <n v="308533"/>
    <n v="4.5199999999999996"/>
    <n v="25130"/>
    <n v="309707"/>
    <n v="250754.66666666666"/>
  </r>
  <r>
    <x v="21"/>
    <s v="Twitter"/>
    <n v="746"/>
    <n v="282"/>
    <n v="293894"/>
    <n v="5.42"/>
    <n v="25537"/>
    <n v="294358"/>
    <n v="256850"/>
  </r>
  <r>
    <x v="21"/>
    <s v="YouTube"/>
    <n v="759"/>
    <n v="216"/>
    <n v="147656"/>
    <n v="4.08"/>
    <n v="24943"/>
    <n v="148199"/>
    <n v="275486.33333333331"/>
  </r>
  <r>
    <x v="22"/>
    <s v="Instagram"/>
    <n v="1437"/>
    <n v="235"/>
    <n v="326791"/>
    <n v="4.0599999999999996"/>
    <n v="14563"/>
    <n v="327993"/>
    <n v="267324.66666666669"/>
  </r>
  <r>
    <x v="22"/>
    <s v="Twitter"/>
    <n v="1463"/>
    <n v="73"/>
    <n v="348877"/>
    <n v="9.91"/>
    <n v="26273"/>
    <n v="350267"/>
    <n v="260564.33333333334"/>
  </r>
  <r>
    <x v="22"/>
    <s v="YouTube"/>
    <n v="1208"/>
    <n v="224"/>
    <n v="122730"/>
    <n v="8.7200000000000006"/>
    <n v="10858"/>
    <n v="123714"/>
    <n v="211476.66666666666"/>
  </r>
  <r>
    <x v="23"/>
    <s v="Instagram"/>
    <n v="1391"/>
    <n v="187"/>
    <n v="306508"/>
    <n v="8.3800000000000008"/>
    <n v="25038"/>
    <n v="307712"/>
    <n v="246341"/>
  </r>
  <r>
    <x v="23"/>
    <s v="Twitter"/>
    <n v="655"/>
    <n v="123"/>
    <n v="202472"/>
    <n v="7.56"/>
    <n v="9092"/>
    <n v="203004"/>
    <n v="226184.66666666666"/>
  </r>
  <r>
    <x v="23"/>
    <s v="YouTube"/>
    <n v="1148"/>
    <n v="90"/>
    <n v="227249"/>
    <n v="7.24"/>
    <n v="17662"/>
    <n v="228307"/>
    <n v="196955"/>
  </r>
  <r>
    <x v="24"/>
    <s v="Instagram"/>
    <n v="946"/>
    <n v="270"/>
    <n v="246567"/>
    <n v="4.53"/>
    <n v="5924"/>
    <n v="247243"/>
    <n v="232246.66666666666"/>
  </r>
  <r>
    <x v="24"/>
    <s v="Twitter"/>
    <n v="791"/>
    <n v="214"/>
    <n v="114738"/>
    <n v="6.62"/>
    <n v="25347"/>
    <n v="115315"/>
    <n v="267541.33333333331"/>
  </r>
  <r>
    <x v="24"/>
    <s v="YouTube"/>
    <n v="793"/>
    <n v="111"/>
    <n v="333500"/>
    <n v="6.36"/>
    <n v="8910"/>
    <n v="334182"/>
    <n v="282976"/>
  </r>
  <r>
    <x v="25"/>
    <s v="Instagram"/>
    <n v="663"/>
    <n v="213"/>
    <n v="352677"/>
    <n v="9"/>
    <n v="20438"/>
    <n v="353127"/>
    <n v="237694.33333333334"/>
  </r>
  <r>
    <x v="25"/>
    <s v="Twitter"/>
    <n v="954"/>
    <n v="271"/>
    <n v="160936"/>
    <n v="8.83"/>
    <n v="8760"/>
    <n v="161619"/>
    <n v="177345"/>
  </r>
  <r>
    <x v="25"/>
    <s v="YouTube"/>
    <n v="1313"/>
    <n v="159"/>
    <n v="197183"/>
    <n v="9.7100000000000009"/>
    <n v="6625"/>
    <n v="198337"/>
    <n v="160860"/>
  </r>
  <r>
    <x v="26"/>
    <s v="Instagram"/>
    <n v="895"/>
    <n v="87"/>
    <n v="171271"/>
    <n v="6.68"/>
    <n v="23329"/>
    <n v="172079"/>
    <n v="212146.66666666666"/>
  </r>
  <r>
    <x v="26"/>
    <s v="Twitter"/>
    <n v="1027"/>
    <n v="156"/>
    <n v="111293"/>
    <n v="5.51"/>
    <n v="7299"/>
    <n v="112164"/>
    <n v="270201"/>
  </r>
  <r>
    <x v="26"/>
    <s v="YouTube"/>
    <n v="990"/>
    <n v="286"/>
    <n v="351493"/>
    <n v="7.97"/>
    <n v="14496"/>
    <n v="352197"/>
    <n v="268155.33333333331"/>
  </r>
  <r>
    <x v="27"/>
    <s v="Instagram"/>
    <n v="875"/>
    <n v="264"/>
    <n v="345631"/>
    <n v="9.18"/>
    <n v="25703"/>
    <n v="346242"/>
    <n v="190568.33333333334"/>
  </r>
  <r>
    <x v="27"/>
    <s v="Twitter"/>
    <n v="599"/>
    <n v="194"/>
    <n v="105622"/>
    <n v="6.44"/>
    <n v="15108"/>
    <n v="106027"/>
    <n v="132750"/>
  </r>
  <r>
    <x v="27"/>
    <s v="YouTube"/>
    <n v="630"/>
    <n v="248"/>
    <n v="119054"/>
    <n v="5.0199999999999996"/>
    <n v="18867"/>
    <n v="119436"/>
    <n v="154377.33333333334"/>
  </r>
  <r>
    <x v="28"/>
    <s v="Instagram"/>
    <n v="1350"/>
    <n v="233"/>
    <n v="171670"/>
    <n v="4.53"/>
    <n v="17574"/>
    <n v="172787"/>
    <n v="161698.33333333334"/>
  </r>
  <r>
    <x v="28"/>
    <s v="Twitter"/>
    <n v="632"/>
    <n v="155"/>
    <n v="170432"/>
    <n v="9.17"/>
    <n v="12840"/>
    <n v="170909"/>
    <n v="143137.66666666666"/>
  </r>
  <r>
    <x v="28"/>
    <s v="YouTube"/>
    <n v="1182"/>
    <n v="83"/>
    <n v="140300"/>
    <n v="3.27"/>
    <n v="21079"/>
    <n v="141399"/>
    <n v="145513"/>
  </r>
  <r>
    <x v="29"/>
    <s v="Instagram"/>
    <n v="661"/>
    <n v="94"/>
    <n v="116538"/>
    <n v="5.31"/>
    <n v="23486"/>
    <n v="117105"/>
    <n v="207603.66666666666"/>
  </r>
  <r>
    <x v="29"/>
    <s v="Twitter"/>
    <n v="1360"/>
    <n v="227"/>
    <n v="176902"/>
    <n v="6.03"/>
    <n v="5960"/>
    <n v="178035"/>
    <n v="248905.66666666666"/>
  </r>
  <r>
    <x v="29"/>
    <s v="YouTube"/>
    <n v="935"/>
    <n v="85"/>
    <n v="326821"/>
    <n v="8.89"/>
    <n v="13301"/>
    <n v="327671"/>
    <n v="314447.66666666669"/>
  </r>
  <r>
    <x v="30"/>
    <s v="Instagram"/>
    <n v="664"/>
    <n v="251"/>
    <n v="240598"/>
    <n v="4.79"/>
    <n v="10563"/>
    <n v="241011"/>
    <n v="246493.66666666666"/>
  </r>
  <r>
    <x v="30"/>
    <s v="Twitter"/>
    <n v="1490"/>
    <n v="103"/>
    <n v="373274"/>
    <n v="4.8"/>
    <n v="19949"/>
    <n v="374661"/>
    <n v="212726.33333333334"/>
  </r>
  <r>
    <x v="30"/>
    <s v="YouTube"/>
    <n v="601"/>
    <n v="64"/>
    <n v="123272"/>
    <n v="4.07"/>
    <n v="14273"/>
    <n v="123809"/>
    <n v="140242.66666666666"/>
  </r>
  <r>
    <x v="31"/>
    <s v="Instagram"/>
    <n v="613"/>
    <n v="170"/>
    <n v="139266"/>
    <n v="6.06"/>
    <n v="9247"/>
    <n v="139709"/>
    <n v="185347.33333333334"/>
  </r>
  <r>
    <x v="31"/>
    <s v="Twitter"/>
    <n v="1340"/>
    <n v="57"/>
    <n v="155927"/>
    <n v="7.79"/>
    <n v="11972"/>
    <n v="157210"/>
    <n v="251787"/>
  </r>
  <r>
    <x v="31"/>
    <s v="YouTube"/>
    <n v="953"/>
    <n v="228"/>
    <n v="258398"/>
    <n v="9.0500000000000007"/>
    <n v="13314"/>
    <n v="259123"/>
    <n v="313787"/>
  </r>
  <r>
    <x v="32"/>
    <s v="Instagram"/>
    <n v="532"/>
    <n v="65"/>
    <n v="338561"/>
    <n v="3.5"/>
    <n v="14749"/>
    <n v="339028"/>
    <n v="286206"/>
  </r>
  <r>
    <x v="32"/>
    <s v="Twitter"/>
    <n v="1414"/>
    <n v="60"/>
    <n v="341856"/>
    <n v="8.76"/>
    <n v="6868"/>
    <n v="343210"/>
    <n v="282584.66666666669"/>
  </r>
  <r>
    <x v="32"/>
    <s v="YouTube"/>
    <n v="685"/>
    <n v="165"/>
    <n v="175860"/>
    <n v="6.26"/>
    <n v="6027"/>
    <n v="176380"/>
    <n v="258909.33333333334"/>
  </r>
  <r>
    <x v="33"/>
    <s v="Instagram"/>
    <n v="601"/>
    <n v="159"/>
    <n v="327722"/>
    <n v="3.33"/>
    <n v="25267"/>
    <n v="328164"/>
    <n v="311681"/>
  </r>
  <r>
    <x v="33"/>
    <s v="Twitter"/>
    <n v="841"/>
    <n v="295"/>
    <n v="271638"/>
    <n v="9.15"/>
    <n v="5900"/>
    <n v="272184"/>
    <n v="325401.33333333331"/>
  </r>
  <r>
    <x v="33"/>
    <s v="YouTube"/>
    <n v="1105"/>
    <n v="261"/>
    <n v="333851"/>
    <n v="6.03"/>
    <n v="11181"/>
    <n v="334695"/>
    <n v="290733"/>
  </r>
  <r>
    <x v="34"/>
    <s v="Instagram"/>
    <n v="566"/>
    <n v="225"/>
    <n v="368984"/>
    <n v="9.82"/>
    <n v="9592"/>
    <n v="369325"/>
    <n v="244344.33333333334"/>
  </r>
  <r>
    <x v="34"/>
    <s v="Twitter"/>
    <n v="1149"/>
    <n v="280"/>
    <n v="167310"/>
    <n v="3.7"/>
    <n v="5291"/>
    <n v="168179"/>
    <n v="226475"/>
  </r>
  <r>
    <x v="34"/>
    <s v="YouTube"/>
    <n v="819"/>
    <n v="101"/>
    <n v="194811"/>
    <n v="3.35"/>
    <n v="22244"/>
    <n v="195529"/>
    <n v="195909.66666666666"/>
  </r>
  <r>
    <x v="35"/>
    <s v="Instagram"/>
    <n v="795"/>
    <n v="60"/>
    <n v="314982"/>
    <n v="7.31"/>
    <n v="6824"/>
    <n v="315717"/>
    <n v="251127"/>
  </r>
  <r>
    <x v="35"/>
    <s v="Twitter"/>
    <n v="681"/>
    <n v="158"/>
    <n v="75960"/>
    <n v="3.13"/>
    <n v="24112"/>
    <n v="76483"/>
    <n v="245223"/>
  </r>
  <r>
    <x v="35"/>
    <s v="YouTube"/>
    <n v="534"/>
    <n v="112"/>
    <n v="360759"/>
    <n v="4.8899999999999997"/>
    <n v="25478"/>
    <n v="361181"/>
    <n v="250778"/>
  </r>
  <r>
    <x v="36"/>
    <s v="Instagram"/>
    <n v="1066"/>
    <n v="151"/>
    <n v="297090"/>
    <n v="8.6300000000000008"/>
    <n v="11235"/>
    <n v="298005"/>
    <n v="188700.33333333334"/>
  </r>
  <r>
    <x v="36"/>
    <s v="Twitter"/>
    <n v="1270"/>
    <n v="162"/>
    <n v="92040"/>
    <n v="8.0299999999999994"/>
    <n v="6120"/>
    <n v="93148"/>
    <n v="148732"/>
  </r>
  <r>
    <x v="36"/>
    <s v="YouTube"/>
    <n v="536"/>
    <n v="198"/>
    <n v="174610"/>
    <n v="7.85"/>
    <n v="20572"/>
    <n v="174948"/>
    <n v="184131"/>
  </r>
  <r>
    <x v="37"/>
    <s v="Instagram"/>
    <n v="819"/>
    <n v="95"/>
    <n v="177376"/>
    <n v="6.12"/>
    <n v="14975"/>
    <n v="178100"/>
    <n v="238061.33333333334"/>
  </r>
  <r>
    <x v="37"/>
    <s v="Twitter"/>
    <n v="681"/>
    <n v="218"/>
    <n v="198882"/>
    <n v="7.16"/>
    <n v="22234"/>
    <n v="199345"/>
    <n v="294450.66666666669"/>
  </r>
  <r>
    <x v="37"/>
    <s v="YouTube"/>
    <n v="646"/>
    <n v="290"/>
    <n v="336383"/>
    <n v="7.04"/>
    <n v="6532"/>
    <n v="336739"/>
    <n v="284271"/>
  </r>
  <r>
    <x v="38"/>
    <s v="Instagram"/>
    <n v="645"/>
    <n v="267"/>
    <n v="346890"/>
    <n v="3.71"/>
    <n v="24858"/>
    <n v="347268"/>
    <n v="295215"/>
  </r>
  <r>
    <x v="38"/>
    <s v="Twitter"/>
    <n v="886"/>
    <n v="250"/>
    <n v="168170"/>
    <n v="4.12"/>
    <n v="13883"/>
    <n v="168806"/>
    <n v="218697.33333333334"/>
  </r>
  <r>
    <x v="38"/>
    <s v="YouTube"/>
    <n v="978"/>
    <n v="279"/>
    <n v="368872"/>
    <n v="6.82"/>
    <n v="18654"/>
    <n v="369571"/>
    <n v="205264.66666666666"/>
  </r>
  <r>
    <x v="39"/>
    <s v="Instagram"/>
    <n v="1444"/>
    <n v="165"/>
    <n v="116436"/>
    <n v="8.2200000000000006"/>
    <n v="25234"/>
    <n v="117715"/>
    <n v="173756"/>
  </r>
  <r>
    <x v="39"/>
    <s v="Twitter"/>
    <n v="1234"/>
    <n v="228"/>
    <n v="127502"/>
    <n v="7.71"/>
    <n v="6772"/>
    <n v="128508"/>
    <n v="233062.66666666666"/>
  </r>
  <r>
    <x v="39"/>
    <s v="YouTube"/>
    <n v="665"/>
    <n v="187"/>
    <n v="274567"/>
    <n v="7.39"/>
    <n v="22428"/>
    <n v="275045"/>
    <n v="255559.66666666666"/>
  </r>
  <r>
    <x v="40"/>
    <s v="Instagram"/>
    <n v="631"/>
    <n v="86"/>
    <n v="295090"/>
    <n v="7.89"/>
    <n v="11911"/>
    <n v="295635"/>
    <n v="277716.33333333331"/>
  </r>
  <r>
    <x v="40"/>
    <s v="Twitter"/>
    <n v="1159"/>
    <n v="154"/>
    <n v="194994"/>
    <n v="6.39"/>
    <n v="21900"/>
    <n v="195999"/>
    <n v="278036.33333333331"/>
  </r>
  <r>
    <x v="40"/>
    <s v="YouTube"/>
    <n v="950"/>
    <n v="185"/>
    <n v="340750"/>
    <n v="6.77"/>
    <n v="25542"/>
    <n v="341515"/>
    <n v="328098"/>
  </r>
  <r>
    <x v="41"/>
    <s v="Instagram"/>
    <n v="693"/>
    <n v="129"/>
    <n v="296031"/>
    <n v="3.41"/>
    <n v="7140"/>
    <n v="296595"/>
    <n v="302465"/>
  </r>
  <r>
    <x v="41"/>
    <s v="Twitter"/>
    <n v="576"/>
    <n v="80"/>
    <n v="345688"/>
    <n v="4.1100000000000003"/>
    <n v="20474"/>
    <n v="346184"/>
    <n v="265425.33333333331"/>
  </r>
  <r>
    <x v="41"/>
    <s v="YouTube"/>
    <n v="1274"/>
    <n v="146"/>
    <n v="263488"/>
    <n v="9.58"/>
    <n v="8698"/>
    <n v="264616"/>
    <n v="191800.66666666666"/>
  </r>
  <r>
    <x v="42"/>
    <s v="Instagram"/>
    <n v="818"/>
    <n v="253"/>
    <n v="184911"/>
    <n v="3.39"/>
    <n v="10402"/>
    <n v="185476"/>
    <n v="236564.66666666666"/>
  </r>
  <r>
    <x v="42"/>
    <s v="Twitter"/>
    <n v="975"/>
    <n v="162"/>
    <n v="124497"/>
    <n v="9.58"/>
    <n v="26618"/>
    <n v="125310"/>
    <n v="221058.33333333334"/>
  </r>
  <r>
    <x v="42"/>
    <s v="YouTube"/>
    <n v="1398"/>
    <n v="97"/>
    <n v="397607"/>
    <n v="5.09"/>
    <n v="7975"/>
    <n v="398908"/>
    <n v="215520.33333333334"/>
  </r>
  <r>
    <x v="43"/>
    <s v="Instagram"/>
    <n v="591"/>
    <n v="155"/>
    <n v="138521"/>
    <n v="7.85"/>
    <n v="19054"/>
    <n v="138957"/>
    <n v="150418"/>
  </r>
  <r>
    <x v="43"/>
    <s v="Twitter"/>
    <n v="1232"/>
    <n v="254"/>
    <n v="107718"/>
    <n v="9.7100000000000009"/>
    <n v="13740"/>
    <n v="108696"/>
    <n v="218207"/>
  </r>
  <r>
    <x v="43"/>
    <s v="YouTube"/>
    <n v="1425"/>
    <n v="58"/>
    <n v="202234"/>
    <n v="6.67"/>
    <n v="18442"/>
    <n v="203601"/>
    <n v="295679"/>
  </r>
  <r>
    <x v="44"/>
    <s v="Instagram"/>
    <n v="1417"/>
    <n v="80"/>
    <n v="340987"/>
    <n v="6.13"/>
    <n v="10104"/>
    <n v="342324"/>
    <n v="313034.33333333331"/>
  </r>
  <r>
    <x v="44"/>
    <s v="Twitter"/>
    <n v="1222"/>
    <n v="208"/>
    <n v="340098"/>
    <n v="7.34"/>
    <n v="21771"/>
    <n v="341112"/>
    <n v="314376"/>
  </r>
  <r>
    <x v="44"/>
    <s v="YouTube"/>
    <n v="1071"/>
    <n v="131"/>
    <n v="254727"/>
    <n v="6.87"/>
    <n v="22191"/>
    <n v="255667"/>
    <n v="272433.66666666669"/>
  </r>
  <r>
    <x v="45"/>
    <s v="Instagram"/>
    <n v="772"/>
    <n v="82"/>
    <n v="345659"/>
    <n v="3.52"/>
    <n v="27753"/>
    <n v="346349"/>
    <n v="273646.66666666669"/>
  </r>
  <r>
    <x v="45"/>
    <s v="Twitter"/>
    <n v="1472"/>
    <n v="137"/>
    <n v="213950"/>
    <n v="6.96"/>
    <n v="23736"/>
    <n v="215285"/>
    <n v="265400.66666666669"/>
  </r>
  <r>
    <x v="45"/>
    <s v="YouTube"/>
    <n v="1472"/>
    <n v="281"/>
    <n v="258115"/>
    <n v="7.23"/>
    <n v="27393"/>
    <n v="259306"/>
    <n v="306684.33333333331"/>
  </r>
  <r>
    <x v="46"/>
    <s v="Instagram"/>
    <n v="585"/>
    <n v="232"/>
    <n v="321258"/>
    <n v="7.42"/>
    <n v="10343"/>
    <n v="321611"/>
    <n v="311541.66666666669"/>
  </r>
  <r>
    <x v="46"/>
    <s v="Twitter"/>
    <n v="747"/>
    <n v="261"/>
    <n v="338650"/>
    <n v="7.73"/>
    <n v="25259"/>
    <n v="339136"/>
    <n v="291400.33333333331"/>
  </r>
  <r>
    <x v="46"/>
    <s v="YouTube"/>
    <n v="1113"/>
    <n v="224"/>
    <n v="272989"/>
    <n v="5.13"/>
    <n v="24827"/>
    <n v="273878"/>
    <n v="272974.66666666669"/>
  </r>
  <r>
    <x v="47"/>
    <s v="Instagram"/>
    <n v="1100"/>
    <n v="117"/>
    <n v="260204"/>
    <n v="4.4000000000000004"/>
    <n v="11908"/>
    <n v="261187"/>
    <n v="274435"/>
  </r>
  <r>
    <x v="47"/>
    <s v="Twitter"/>
    <n v="751"/>
    <n v="170"/>
    <n v="283278"/>
    <n v="3.49"/>
    <n v="11005"/>
    <n v="283859"/>
    <n v="305606"/>
  </r>
  <r>
    <x v="47"/>
    <s v="YouTube"/>
    <n v="864"/>
    <n v="50"/>
    <n v="277445"/>
    <n v="3.57"/>
    <n v="26333"/>
    <n v="278259"/>
    <n v="299551.33333333331"/>
  </r>
  <r>
    <x v="48"/>
    <s v="Instagram"/>
    <n v="1146"/>
    <n v="227"/>
    <n v="353781"/>
    <n v="6.41"/>
    <n v="5495"/>
    <n v="354700"/>
    <n v="284259.66666666669"/>
  </r>
  <r>
    <x v="48"/>
    <s v="Twitter"/>
    <n v="883"/>
    <n v="207"/>
    <n v="265019"/>
    <n v="6.04"/>
    <n v="15655"/>
    <n v="265695"/>
    <n v="288268"/>
  </r>
  <r>
    <x v="48"/>
    <s v="YouTube"/>
    <n v="622"/>
    <n v="163"/>
    <n v="231925"/>
    <n v="9.18"/>
    <n v="13763"/>
    <n v="232384"/>
    <n v="255977"/>
  </r>
  <r>
    <x v="49"/>
    <s v="Instagram"/>
    <n v="837"/>
    <n v="261"/>
    <n v="366149"/>
    <n v="6.54"/>
    <n v="26073"/>
    <n v="366725"/>
    <n v="262895.66666666669"/>
  </r>
  <r>
    <x v="49"/>
    <s v="Twitter"/>
    <n v="544"/>
    <n v="97"/>
    <n v="168375"/>
    <n v="8.66"/>
    <n v="12774"/>
    <n v="168822"/>
    <n v="180429"/>
  </r>
  <r>
    <x v="49"/>
    <s v="YouTube"/>
    <n v="624"/>
    <n v="247"/>
    <n v="252763"/>
    <n v="3.89"/>
    <n v="19000"/>
    <n v="253140"/>
    <n v="233611"/>
  </r>
  <r>
    <x v="50"/>
    <s v="Instagram"/>
    <n v="1073"/>
    <n v="141"/>
    <n v="118393"/>
    <n v="7.95"/>
    <n v="14051"/>
    <n v="119325"/>
    <n v="206220.66666666666"/>
  </r>
  <r>
    <x v="50"/>
    <s v="Twitter"/>
    <n v="1430"/>
    <n v="74"/>
    <n v="327012"/>
    <n v="6.66"/>
    <n v="27782"/>
    <n v="328368"/>
    <n v="257437.66666666666"/>
  </r>
  <r>
    <x v="50"/>
    <s v="YouTube"/>
    <n v="1358"/>
    <n v="77"/>
    <n v="169688"/>
    <n v="5.25"/>
    <n v="7859"/>
    <n v="170969"/>
    <n v="253703.33333333334"/>
  </r>
  <r>
    <x v="51"/>
    <s v="Instagram"/>
    <n v="1242"/>
    <n v="201"/>
    <n v="271935"/>
    <n v="5.07"/>
    <n v="15773"/>
    <n v="272976"/>
    <n v="310613.66666666669"/>
  </r>
  <r>
    <x v="51"/>
    <s v="Twitter"/>
    <n v="1389"/>
    <n v="205"/>
    <n v="315981"/>
    <n v="7.62"/>
    <n v="20595"/>
    <n v="317165"/>
    <n v="314794.33333333331"/>
  </r>
  <r>
    <x v="51"/>
    <s v="YouTube"/>
    <n v="826"/>
    <n v="142"/>
    <n v="341016"/>
    <n v="7.44"/>
    <n v="12031"/>
    <n v="341700"/>
    <n v="248325.33333333334"/>
  </r>
  <r>
    <x v="52"/>
    <s v="Instagram"/>
    <n v="618"/>
    <n v="264"/>
    <n v="285164"/>
    <n v="4.8600000000000003"/>
    <n v="15128"/>
    <n v="285518"/>
    <n v="173179.66666666666"/>
  </r>
  <r>
    <x v="52"/>
    <s v="Twitter"/>
    <n v="1419"/>
    <n v="293"/>
    <n v="116632"/>
    <n v="6.93"/>
    <n v="11826"/>
    <n v="117758"/>
    <n v="99731.666666666672"/>
  </r>
  <r>
    <x v="52"/>
    <s v="YouTube"/>
    <n v="637"/>
    <n v="68"/>
    <n v="115694"/>
    <n v="9.99"/>
    <n v="12562"/>
    <n v="116263"/>
    <n v="181524.66666666666"/>
  </r>
  <r>
    <x v="53"/>
    <s v="Instagram"/>
    <n v="917"/>
    <n v="187"/>
    <n v="64444"/>
    <n v="5.22"/>
    <n v="13013"/>
    <n v="65174"/>
    <n v="218709"/>
  </r>
  <r>
    <x v="53"/>
    <s v="Twitter"/>
    <n v="810"/>
    <n v="232"/>
    <n v="362559"/>
    <n v="5.17"/>
    <n v="12937"/>
    <n v="363137"/>
    <n v="291729.33333333331"/>
  </r>
  <r>
    <x v="53"/>
    <s v="YouTube"/>
    <n v="1183"/>
    <n v="248"/>
    <n v="226881"/>
    <n v="5.17"/>
    <n v="14534"/>
    <n v="227816"/>
    <n v="191737.66666666666"/>
  </r>
  <r>
    <x v="54"/>
    <s v="Instagram"/>
    <n v="765"/>
    <n v="67"/>
    <n v="283537"/>
    <n v="6.18"/>
    <n v="8182"/>
    <n v="284235"/>
    <n v="177050"/>
  </r>
  <r>
    <x v="54"/>
    <s v="Twitter"/>
    <n v="540"/>
    <n v="215"/>
    <n v="62837"/>
    <n v="5.3"/>
    <n v="10615"/>
    <n v="63162"/>
    <n v="175546.66666666666"/>
  </r>
  <r>
    <x v="54"/>
    <s v="YouTube"/>
    <n v="1145"/>
    <n v="151"/>
    <n v="182759"/>
    <n v="5.99"/>
    <n v="20109"/>
    <n v="183753"/>
    <n v="240502.33333333334"/>
  </r>
  <r>
    <x v="55"/>
    <s v="Instagram"/>
    <n v="564"/>
    <n v="244"/>
    <n v="279405"/>
    <n v="8.43"/>
    <n v="26024"/>
    <n v="279725"/>
    <n v="231083.66666666666"/>
  </r>
  <r>
    <x v="55"/>
    <s v="Twitter"/>
    <n v="668"/>
    <n v="124"/>
    <n v="257485"/>
    <n v="7.55"/>
    <n v="26730"/>
    <n v="258029"/>
    <n v="210170.33333333334"/>
  </r>
  <r>
    <x v="55"/>
    <s v="YouTube"/>
    <n v="761"/>
    <n v="241"/>
    <n v="154977"/>
    <n v="5.63"/>
    <n v="10563"/>
    <n v="155497"/>
    <n v="158606"/>
  </r>
  <r>
    <x v="56"/>
    <s v="Instagram"/>
    <n v="593"/>
    <n v="108"/>
    <n v="216500"/>
    <n v="4.71"/>
    <n v="27575"/>
    <n v="216985"/>
    <n v="137647.33333333334"/>
  </r>
  <r>
    <x v="56"/>
    <s v="Twitter"/>
    <n v="1349"/>
    <n v="115"/>
    <n v="102102"/>
    <n v="5.28"/>
    <n v="14479"/>
    <n v="103336"/>
    <n v="148251"/>
  </r>
  <r>
    <x v="56"/>
    <s v="YouTube"/>
    <n v="693"/>
    <n v="97"/>
    <n v="92025"/>
    <n v="5.95"/>
    <n v="15915"/>
    <n v="92621"/>
    <n v="243267.33333333334"/>
  </r>
  <r>
    <x v="57"/>
    <s v="Instagram"/>
    <n v="974"/>
    <n v="143"/>
    <n v="247965"/>
    <n v="9.98"/>
    <n v="12767"/>
    <n v="248796"/>
    <n v="297323.66666666669"/>
  </r>
  <r>
    <x v="57"/>
    <s v="Twitter"/>
    <n v="1155"/>
    <n v="122"/>
    <n v="387352"/>
    <n v="9.93"/>
    <n v="12170"/>
    <n v="388385"/>
    <n v="258029.66666666666"/>
  </r>
  <r>
    <x v="57"/>
    <s v="YouTube"/>
    <n v="1051"/>
    <n v="246"/>
    <n v="253985"/>
    <n v="9.08"/>
    <n v="7245"/>
    <n v="254790"/>
    <n v="222681.66666666666"/>
  </r>
  <r>
    <x v="58"/>
    <s v="Instagram"/>
    <n v="1457"/>
    <n v="183"/>
    <n v="129640"/>
    <n v="7.98"/>
    <n v="12985"/>
    <n v="130914"/>
    <n v="258325.66666666666"/>
  </r>
  <r>
    <x v="58"/>
    <s v="Twitter"/>
    <n v="670"/>
    <n v="242"/>
    <n v="281913"/>
    <n v="9.6199999999999992"/>
    <n v="16377"/>
    <n v="282341"/>
    <n v="257429"/>
  </r>
  <r>
    <x v="58"/>
    <s v="YouTube"/>
    <n v="1111"/>
    <n v="159"/>
    <n v="360770"/>
    <n v="8.7100000000000009"/>
    <n v="11453"/>
    <n v="361722"/>
    <n v="226724"/>
  </r>
  <r>
    <x v="59"/>
    <s v="Instagram"/>
    <n v="1197"/>
    <n v="246"/>
    <n v="127273"/>
    <n v="6.69"/>
    <n v="12323"/>
    <n v="128224"/>
    <n v="223512.66666666666"/>
  </r>
  <r>
    <x v="59"/>
    <s v="Twitter"/>
    <n v="754"/>
    <n v="150"/>
    <n v="189622"/>
    <n v="4.25"/>
    <n v="11911"/>
    <n v="190226"/>
    <n v="221437.33333333334"/>
  </r>
  <r>
    <x v="59"/>
    <s v="YouTube"/>
    <n v="1246"/>
    <n v="107"/>
    <n v="350949"/>
    <n v="4.9800000000000004"/>
    <n v="27809"/>
    <n v="352088"/>
    <n v="197370"/>
  </r>
  <r>
    <x v="60"/>
    <s v="Instagram"/>
    <n v="780"/>
    <n v="213"/>
    <n v="121431"/>
    <n v="4.97"/>
    <n v="21464"/>
    <n v="121998"/>
    <n v="107531"/>
  </r>
  <r>
    <x v="60"/>
    <s v="Twitter"/>
    <n v="1425"/>
    <n v="143"/>
    <n v="116742"/>
    <n v="3.71"/>
    <n v="27126"/>
    <n v="118024"/>
    <n v="96129.333333333328"/>
  </r>
  <r>
    <x v="60"/>
    <s v="YouTube"/>
    <n v="1490"/>
    <n v="103"/>
    <n v="81184"/>
    <n v="7.79"/>
    <n v="10681"/>
    <n v="82571"/>
    <n v="146136.33333333334"/>
  </r>
  <r>
    <x v="61"/>
    <s v="Instagram"/>
    <n v="949"/>
    <n v="282"/>
    <n v="87126"/>
    <n v="4.96"/>
    <n v="5413"/>
    <n v="87793"/>
    <n v="163147.66666666666"/>
  </r>
  <r>
    <x v="61"/>
    <s v="Twitter"/>
    <n v="640"/>
    <n v="141"/>
    <n v="267546"/>
    <n v="8.58"/>
    <n v="25058"/>
    <n v="268045"/>
    <n v="247701"/>
  </r>
  <r>
    <x v="61"/>
    <s v="YouTube"/>
    <n v="616"/>
    <n v="93"/>
    <n v="133082"/>
    <n v="8.51"/>
    <n v="18303"/>
    <n v="133605"/>
    <n v="197410.66666666666"/>
  </r>
  <r>
    <x v="62"/>
    <s v="Instagram"/>
    <n v="1080"/>
    <n v="184"/>
    <n v="340557"/>
    <n v="5.41"/>
    <n v="5526"/>
    <n v="341453"/>
    <n v="190929.33333333334"/>
  </r>
  <r>
    <x v="62"/>
    <s v="Twitter"/>
    <n v="938"/>
    <n v="236"/>
    <n v="116472"/>
    <n v="8.7200000000000006"/>
    <n v="17460"/>
    <n v="117174"/>
    <n v="129738.33333333333"/>
  </r>
  <r>
    <x v="62"/>
    <s v="YouTube"/>
    <n v="1007"/>
    <n v="258"/>
    <n v="113412"/>
    <n v="7.71"/>
    <n v="14475"/>
    <n v="114161"/>
    <n v="209168"/>
  </r>
  <r>
    <x v="63"/>
    <s v="Instagram"/>
    <n v="541"/>
    <n v="208"/>
    <n v="157547"/>
    <n v="8.35"/>
    <n v="20162"/>
    <n v="157880"/>
    <n v="221993.66666666666"/>
  </r>
  <r>
    <x v="63"/>
    <s v="Twitter"/>
    <n v="745"/>
    <n v="98"/>
    <n v="354816"/>
    <n v="4.03"/>
    <n v="17103"/>
    <n v="355463"/>
    <n v="217624"/>
  </r>
  <r>
    <x v="63"/>
    <s v="YouTube"/>
    <n v="936"/>
    <n v="97"/>
    <n v="151799"/>
    <n v="9.3699999999999992"/>
    <n v="15461"/>
    <n v="152638"/>
    <n v="198342.33333333334"/>
  </r>
  <r>
    <x v="64"/>
    <s v="Instagram"/>
    <n v="1183"/>
    <n v="223"/>
    <n v="143811"/>
    <n v="6.07"/>
    <n v="22103"/>
    <n v="144771"/>
    <n v="195652"/>
  </r>
  <r>
    <x v="64"/>
    <s v="Twitter"/>
    <n v="1413"/>
    <n v="245"/>
    <n v="296450"/>
    <n v="6.52"/>
    <n v="11625"/>
    <n v="297618"/>
    <n v="238530.33333333334"/>
  </r>
  <r>
    <x v="64"/>
    <s v="YouTube"/>
    <n v="791"/>
    <n v="273"/>
    <n v="144049"/>
    <n v="3.08"/>
    <n v="5281"/>
    <n v="144567"/>
    <n v="166846.66666666666"/>
  </r>
  <r>
    <x v="65"/>
    <s v="Instagram"/>
    <n v="1052"/>
    <n v="180"/>
    <n v="272534"/>
    <n v="5.34"/>
    <n v="13424"/>
    <n v="273406"/>
    <n v="223261.66666666666"/>
  </r>
  <r>
    <x v="65"/>
    <s v="Twitter"/>
    <n v="572"/>
    <n v="270"/>
    <n v="82265"/>
    <n v="3.65"/>
    <n v="13140"/>
    <n v="82567"/>
    <n v="162372.33333333334"/>
  </r>
  <r>
    <x v="65"/>
    <s v="YouTube"/>
    <n v="503"/>
    <n v="253"/>
    <n v="313562"/>
    <n v="4.18"/>
    <n v="19538"/>
    <n v="313812"/>
    <n v="251284"/>
  </r>
  <r>
    <x v="66"/>
    <s v="Instagram"/>
    <n v="1017"/>
    <n v="197"/>
    <n v="89918"/>
    <n v="3.91"/>
    <n v="7881"/>
    <n v="90738"/>
    <n v="220020"/>
  </r>
  <r>
    <x v="66"/>
    <s v="Twitter"/>
    <n v="860"/>
    <n v="244"/>
    <n v="348686"/>
    <n v="5.12"/>
    <n v="11418"/>
    <n v="349302"/>
    <n v="349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44C2B-7397-464E-A94A-21DE85CF079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:C70" firstHeaderRow="1" firstDataRow="1" firstDataCol="1"/>
  <pivotFields count="9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dataField="1" numFmtId="1" showAll="0"/>
    <pivotField axis="axisRow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1">
    <field x="8"/>
  </rowFields>
  <rowItems count="6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Sum of Net Follower Gain" fld="7" baseField="0" baseItem="0" numFmtId="1"/>
  </dataFields>
  <formats count="2">
    <format dxfId="13">
      <pivotArea collapsedLevelsAreSubtotals="1" fieldPosition="0">
        <references count="1">
          <reference field="8" count="1">
            <x v="14"/>
          </reference>
        </references>
      </pivotArea>
    </format>
    <format dxfId="12">
      <pivotArea dataOnly="0" labelOnly="1" fieldPosition="0">
        <references count="1">
          <reference field="8" count="1">
            <x v="1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93B8C-B0BA-4D98-BFEA-FF2ABBEB64C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:D70" firstHeaderRow="0" firstDataRow="1" firstDataCol="1"/>
  <pivotFields count="10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dataField="1" numFmtId="1" showAll="0"/>
    <pivotField dataField="1" numFmtId="1" showAll="0"/>
    <pivotField axis="axisRow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1">
    <field x="9"/>
  </rowFields>
  <rowItems count="6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Follower Gain" fld="7" baseField="0" baseItem="0" numFmtId="1"/>
    <dataField name="Sum of 3 weeks Moving Average" fld="8" baseField="0" baseItem="0" numFmtId="1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44F2D-0CE5-425D-B61F-3E7FC401A40D}" name="Table1" displayName="Table1" ref="A1:J201" totalsRowShown="0" headerRowDxfId="11" dataDxfId="10">
  <autoFilter ref="A1:J201" xr:uid="{60F44F2D-0CE5-425D-B61F-3E7FC401A40D}"/>
  <tableColumns count="10">
    <tableColumn id="1" xr3:uid="{E65B653A-793D-473E-9703-2A11CD40BA02}" name="Week_Start_Date" dataDxfId="9"/>
    <tableColumn id="2" xr3:uid="{C69960F3-7CC6-43A6-85AD-C0384FEC4B3D}" name="Platform" dataDxfId="8"/>
    <tableColumn id="3" xr3:uid="{0563BB1D-D165-43E2-9479-FB20737B6349}" name="New_Followers" dataDxfId="7"/>
    <tableColumn id="4" xr3:uid="{25C248B3-C64E-47E7-B8EC-EDCFC9F41F02}" name="Unfollows" dataDxfId="6"/>
    <tableColumn id="5" xr3:uid="{0CC7F95A-B5C1-461B-A2E1-F6966491F848}" name="Total_Followers" dataDxfId="5"/>
    <tableColumn id="6" xr3:uid="{1D83FBD3-CC61-41D4-8299-FA713EB2DF9D}" name="Engagement_Rate" dataDxfId="4"/>
    <tableColumn id="7" xr3:uid="{8382AA5A-B191-45E6-91D3-C3A9889AD9FB}" name="Ad_Spend" dataDxfId="3"/>
    <tableColumn id="8" xr3:uid="{B61FD8A8-A347-444F-B98B-CAE995B7AD8E}" name="Net Follower Gain" dataDxfId="2">
      <calculatedColumnFormula>E2+C2-D2</calculatedColumnFormula>
    </tableColumn>
    <tableColumn id="9" xr3:uid="{1F7453CF-162D-4FA0-884B-19277C09C3BD}" name="3 weeks Moving Average" dataDxfId="1">
      <calculatedColumnFormula>AVERAGE(H2:H4)</calculatedColumnFormula>
    </tableColumn>
    <tableColumn id="10" xr3:uid="{3C165D15-A957-42A7-B47C-58EAFEF1C7C2}" name="correlation" dataDxfId="0">
      <calculatedColumnFormula>CORREL(H$1:H$201,G$1:G$201)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54D8-897B-4270-9790-7AA82D4BC935}">
  <dimension ref="B2:C70"/>
  <sheetViews>
    <sheetView zoomScaleNormal="100" workbookViewId="0">
      <selection activeCell="B16" sqref="B16:C16"/>
      <pivotSelection pane="bottomRight" showHeader="1" extendable="1" axis="axisRow" start="13" max="68" activeRow="15" activeCol="1" previousRow="15" previousCol="1" click="1" r:id="rId1">
        <pivotArea dataOnly="0" axis="axisRow" fieldPosition="0">
          <references count="1">
            <reference field="8" count="1">
              <x v="14"/>
            </reference>
          </references>
        </pivotArea>
      </pivotSelection>
    </sheetView>
  </sheetViews>
  <sheetFormatPr defaultRowHeight="14.4" x14ac:dyDescent="0.3"/>
  <cols>
    <col min="2" max="2" width="21.5546875" bestFit="1" customWidth="1"/>
    <col min="3" max="3" width="22.5546875" bestFit="1" customWidth="1"/>
  </cols>
  <sheetData>
    <row r="2" spans="2:3" x14ac:dyDescent="0.3">
      <c r="B2" s="10" t="s">
        <v>12</v>
      </c>
      <c r="C2" t="s">
        <v>11</v>
      </c>
    </row>
    <row r="3" spans="2:3" x14ac:dyDescent="0.3">
      <c r="B3" s="11" t="s">
        <v>14</v>
      </c>
      <c r="C3" s="9">
        <v>726181</v>
      </c>
    </row>
    <row r="4" spans="2:3" x14ac:dyDescent="0.3">
      <c r="B4" s="11" t="s">
        <v>15</v>
      </c>
      <c r="C4" s="9">
        <v>815774</v>
      </c>
    </row>
    <row r="5" spans="2:3" x14ac:dyDescent="0.3">
      <c r="B5" s="11" t="s">
        <v>16</v>
      </c>
      <c r="C5" s="9">
        <v>595435</v>
      </c>
    </row>
    <row r="6" spans="2:3" x14ac:dyDescent="0.3">
      <c r="B6" s="11" t="s">
        <v>17</v>
      </c>
      <c r="C6" s="9">
        <v>344254</v>
      </c>
    </row>
    <row r="7" spans="2:3" x14ac:dyDescent="0.3">
      <c r="B7" s="11" t="s">
        <v>18</v>
      </c>
      <c r="C7" s="9">
        <v>699666</v>
      </c>
    </row>
    <row r="8" spans="2:3" x14ac:dyDescent="0.3">
      <c r="B8" s="11" t="s">
        <v>19</v>
      </c>
      <c r="C8" s="9">
        <v>613273</v>
      </c>
    </row>
    <row r="9" spans="2:3" x14ac:dyDescent="0.3">
      <c r="B9" s="11" t="s">
        <v>20</v>
      </c>
      <c r="C9" s="9">
        <v>642684</v>
      </c>
    </row>
    <row r="10" spans="2:3" x14ac:dyDescent="0.3">
      <c r="B10" s="11" t="s">
        <v>21</v>
      </c>
      <c r="C10" s="9">
        <v>853358</v>
      </c>
    </row>
    <row r="11" spans="2:3" x14ac:dyDescent="0.3">
      <c r="B11" s="11" t="s">
        <v>22</v>
      </c>
      <c r="C11" s="9">
        <v>810091</v>
      </c>
    </row>
    <row r="12" spans="2:3" x14ac:dyDescent="0.3">
      <c r="B12" s="11" t="s">
        <v>23</v>
      </c>
      <c r="C12" s="9">
        <v>654183</v>
      </c>
    </row>
    <row r="13" spans="2:3" x14ac:dyDescent="0.3">
      <c r="B13" s="11" t="s">
        <v>24</v>
      </c>
      <c r="C13" s="9">
        <v>464023</v>
      </c>
    </row>
    <row r="14" spans="2:3" x14ac:dyDescent="0.3">
      <c r="B14" s="11" t="s">
        <v>25</v>
      </c>
      <c r="C14" s="9">
        <v>582318</v>
      </c>
    </row>
    <row r="15" spans="2:3" x14ac:dyDescent="0.3">
      <c r="B15" s="11" t="s">
        <v>26</v>
      </c>
      <c r="C15" s="9">
        <v>704327</v>
      </c>
    </row>
    <row r="16" spans="2:3" x14ac:dyDescent="0.3">
      <c r="B16" s="14" t="s">
        <v>27</v>
      </c>
      <c r="C16" s="15">
        <v>1054834</v>
      </c>
    </row>
    <row r="17" spans="2:3" x14ac:dyDescent="0.3">
      <c r="B17" s="11" t="s">
        <v>28</v>
      </c>
      <c r="C17" s="9">
        <v>951069</v>
      </c>
    </row>
    <row r="18" spans="2:3" x14ac:dyDescent="0.3">
      <c r="B18" s="11" t="s">
        <v>29</v>
      </c>
      <c r="C18" s="9">
        <v>799210</v>
      </c>
    </row>
    <row r="19" spans="2:3" x14ac:dyDescent="0.3">
      <c r="B19" s="11" t="s">
        <v>30</v>
      </c>
      <c r="C19" s="9">
        <v>790742</v>
      </c>
    </row>
    <row r="20" spans="2:3" x14ac:dyDescent="0.3">
      <c r="B20" s="11" t="s">
        <v>31</v>
      </c>
      <c r="C20" s="9">
        <v>916465</v>
      </c>
    </row>
    <row r="21" spans="2:3" x14ac:dyDescent="0.3">
      <c r="B21" s="11" t="s">
        <v>32</v>
      </c>
      <c r="C21" s="9">
        <v>665116</v>
      </c>
    </row>
    <row r="22" spans="2:3" x14ac:dyDescent="0.3">
      <c r="B22" s="11" t="s">
        <v>33</v>
      </c>
      <c r="C22" s="9">
        <v>808228</v>
      </c>
    </row>
    <row r="23" spans="2:3" x14ac:dyDescent="0.3">
      <c r="B23" s="11" t="s">
        <v>34</v>
      </c>
      <c r="C23" s="9">
        <v>380718</v>
      </c>
    </row>
    <row r="24" spans="2:3" x14ac:dyDescent="0.3">
      <c r="B24" s="11" t="s">
        <v>35</v>
      </c>
      <c r="C24" s="9">
        <v>752264</v>
      </c>
    </row>
    <row r="25" spans="2:3" x14ac:dyDescent="0.3">
      <c r="B25" s="11" t="s">
        <v>36</v>
      </c>
      <c r="C25" s="9">
        <v>801974</v>
      </c>
    </row>
    <row r="26" spans="2:3" x14ac:dyDescent="0.3">
      <c r="B26" s="11" t="s">
        <v>37</v>
      </c>
      <c r="C26" s="9">
        <v>739023</v>
      </c>
    </row>
    <row r="27" spans="2:3" x14ac:dyDescent="0.3">
      <c r="B27" s="11" t="s">
        <v>38</v>
      </c>
      <c r="C27" s="9">
        <v>696740</v>
      </c>
    </row>
    <row r="28" spans="2:3" x14ac:dyDescent="0.3">
      <c r="B28" s="11" t="s">
        <v>39</v>
      </c>
      <c r="C28" s="9">
        <v>713083</v>
      </c>
    </row>
    <row r="29" spans="2:3" x14ac:dyDescent="0.3">
      <c r="B29" s="11" t="s">
        <v>40</v>
      </c>
      <c r="C29" s="9">
        <v>636440</v>
      </c>
    </row>
    <row r="30" spans="2:3" x14ac:dyDescent="0.3">
      <c r="B30" s="11" t="s">
        <v>41</v>
      </c>
      <c r="C30" s="9">
        <v>571705</v>
      </c>
    </row>
    <row r="31" spans="2:3" x14ac:dyDescent="0.3">
      <c r="B31" s="11" t="s">
        <v>42</v>
      </c>
      <c r="C31" s="9">
        <v>485095</v>
      </c>
    </row>
    <row r="32" spans="2:3" x14ac:dyDescent="0.3">
      <c r="B32" s="11" t="s">
        <v>43</v>
      </c>
      <c r="C32" s="9">
        <v>622811</v>
      </c>
    </row>
    <row r="33" spans="2:3" x14ac:dyDescent="0.3">
      <c r="B33" s="11" t="s">
        <v>44</v>
      </c>
      <c r="C33" s="9">
        <v>739481</v>
      </c>
    </row>
    <row r="34" spans="2:3" x14ac:dyDescent="0.3">
      <c r="B34" s="11" t="s">
        <v>45</v>
      </c>
      <c r="C34" s="9">
        <v>556042</v>
      </c>
    </row>
    <row r="35" spans="2:3" x14ac:dyDescent="0.3">
      <c r="B35" s="11" t="s">
        <v>46</v>
      </c>
      <c r="C35" s="9">
        <v>858618</v>
      </c>
    </row>
    <row r="36" spans="2:3" x14ac:dyDescent="0.3">
      <c r="B36" s="11" t="s">
        <v>47</v>
      </c>
      <c r="C36" s="9">
        <v>935043</v>
      </c>
    </row>
    <row r="37" spans="2:3" x14ac:dyDescent="0.3">
      <c r="B37" s="11" t="s">
        <v>48</v>
      </c>
      <c r="C37" s="9">
        <v>733033</v>
      </c>
    </row>
    <row r="38" spans="2:3" x14ac:dyDescent="0.3">
      <c r="B38" s="11" t="s">
        <v>49</v>
      </c>
      <c r="C38" s="9">
        <v>753381</v>
      </c>
    </row>
    <row r="39" spans="2:3" x14ac:dyDescent="0.3">
      <c r="B39" s="11" t="s">
        <v>50</v>
      </c>
      <c r="C39" s="9">
        <v>566101</v>
      </c>
    </row>
    <row r="40" spans="2:3" x14ac:dyDescent="0.3">
      <c r="B40" s="11" t="s">
        <v>51</v>
      </c>
      <c r="C40" s="9">
        <v>714184</v>
      </c>
    </row>
    <row r="41" spans="2:3" x14ac:dyDescent="0.3">
      <c r="B41" s="11" t="s">
        <v>52</v>
      </c>
      <c r="C41" s="9">
        <v>885645</v>
      </c>
    </row>
    <row r="42" spans="2:3" x14ac:dyDescent="0.3">
      <c r="B42" s="11" t="s">
        <v>53</v>
      </c>
      <c r="C42" s="9">
        <v>521268</v>
      </c>
    </row>
    <row r="43" spans="2:3" x14ac:dyDescent="0.3">
      <c r="B43" s="11" t="s">
        <v>54</v>
      </c>
      <c r="C43" s="9">
        <v>833149</v>
      </c>
    </row>
    <row r="44" spans="2:3" x14ac:dyDescent="0.3">
      <c r="B44" s="11" t="s">
        <v>55</v>
      </c>
      <c r="C44" s="9">
        <v>907395</v>
      </c>
    </row>
    <row r="45" spans="2:3" x14ac:dyDescent="0.3">
      <c r="B45" s="11" t="s">
        <v>56</v>
      </c>
      <c r="C45" s="9">
        <v>709694</v>
      </c>
    </row>
    <row r="46" spans="2:3" x14ac:dyDescent="0.3">
      <c r="B46" s="11" t="s">
        <v>57</v>
      </c>
      <c r="C46" s="9">
        <v>451254</v>
      </c>
    </row>
    <row r="47" spans="2:3" x14ac:dyDescent="0.3">
      <c r="B47" s="11" t="s">
        <v>58</v>
      </c>
      <c r="C47" s="9">
        <v>939103</v>
      </c>
    </row>
    <row r="48" spans="2:3" x14ac:dyDescent="0.3">
      <c r="B48" s="11" t="s">
        <v>59</v>
      </c>
      <c r="C48" s="9">
        <v>820940</v>
      </c>
    </row>
    <row r="49" spans="2:3" x14ac:dyDescent="0.3">
      <c r="B49" s="11" t="s">
        <v>60</v>
      </c>
      <c r="C49" s="9">
        <v>934625</v>
      </c>
    </row>
    <row r="50" spans="2:3" x14ac:dyDescent="0.3">
      <c r="B50" s="11" t="s">
        <v>61</v>
      </c>
      <c r="C50" s="9">
        <v>823305</v>
      </c>
    </row>
    <row r="51" spans="2:3" x14ac:dyDescent="0.3">
      <c r="B51" s="11" t="s">
        <v>62</v>
      </c>
      <c r="C51" s="9">
        <v>852779</v>
      </c>
    </row>
    <row r="52" spans="2:3" x14ac:dyDescent="0.3">
      <c r="B52" s="11" t="s">
        <v>63</v>
      </c>
      <c r="C52" s="9">
        <v>788687</v>
      </c>
    </row>
    <row r="53" spans="2:3" x14ac:dyDescent="0.3">
      <c r="B53" s="11" t="s">
        <v>64</v>
      </c>
      <c r="C53" s="9">
        <v>618662</v>
      </c>
    </row>
    <row r="54" spans="2:3" x14ac:dyDescent="0.3">
      <c r="B54" s="11" t="s">
        <v>65</v>
      </c>
      <c r="C54" s="9">
        <v>931841</v>
      </c>
    </row>
    <row r="55" spans="2:3" x14ac:dyDescent="0.3">
      <c r="B55" s="11" t="s">
        <v>66</v>
      </c>
      <c r="C55" s="9">
        <v>519539</v>
      </c>
    </row>
    <row r="56" spans="2:3" x14ac:dyDescent="0.3">
      <c r="B56" s="11" t="s">
        <v>67</v>
      </c>
      <c r="C56" s="9">
        <v>656127</v>
      </c>
    </row>
    <row r="57" spans="2:3" x14ac:dyDescent="0.3">
      <c r="B57" s="11" t="s">
        <v>68</v>
      </c>
      <c r="C57" s="9">
        <v>531150</v>
      </c>
    </row>
    <row r="58" spans="2:3" x14ac:dyDescent="0.3">
      <c r="B58" s="11" t="s">
        <v>69</v>
      </c>
      <c r="C58" s="9">
        <v>693251</v>
      </c>
    </row>
    <row r="59" spans="2:3" x14ac:dyDescent="0.3">
      <c r="B59" s="11" t="s">
        <v>70</v>
      </c>
      <c r="C59" s="9">
        <v>412942</v>
      </c>
    </row>
    <row r="60" spans="2:3" x14ac:dyDescent="0.3">
      <c r="B60" s="11" t="s">
        <v>71</v>
      </c>
      <c r="C60" s="9">
        <v>891971</v>
      </c>
    </row>
    <row r="61" spans="2:3" x14ac:dyDescent="0.3">
      <c r="B61" s="11" t="s">
        <v>72</v>
      </c>
      <c r="C61" s="9">
        <v>774977</v>
      </c>
    </row>
    <row r="62" spans="2:3" x14ac:dyDescent="0.3">
      <c r="B62" s="11" t="s">
        <v>73</v>
      </c>
      <c r="C62" s="9">
        <v>670538</v>
      </c>
    </row>
    <row r="63" spans="2:3" x14ac:dyDescent="0.3">
      <c r="B63" s="11" t="s">
        <v>74</v>
      </c>
      <c r="C63" s="9">
        <v>322593</v>
      </c>
    </row>
    <row r="64" spans="2:3" x14ac:dyDescent="0.3">
      <c r="B64" s="11" t="s">
        <v>75</v>
      </c>
      <c r="C64" s="9">
        <v>489443</v>
      </c>
    </row>
    <row r="65" spans="2:3" x14ac:dyDescent="0.3">
      <c r="B65" s="11" t="s">
        <v>76</v>
      </c>
      <c r="C65" s="9">
        <v>572788</v>
      </c>
    </row>
    <row r="66" spans="2:3" x14ac:dyDescent="0.3">
      <c r="B66" s="11" t="s">
        <v>77</v>
      </c>
      <c r="C66" s="9">
        <v>665981</v>
      </c>
    </row>
    <row r="67" spans="2:3" x14ac:dyDescent="0.3">
      <c r="B67" s="11" t="s">
        <v>78</v>
      </c>
      <c r="C67" s="9">
        <v>586956</v>
      </c>
    </row>
    <row r="68" spans="2:3" x14ac:dyDescent="0.3">
      <c r="B68" s="11" t="s">
        <v>79</v>
      </c>
      <c r="C68" s="9">
        <v>669785</v>
      </c>
    </row>
    <row r="69" spans="2:3" x14ac:dyDescent="0.3">
      <c r="B69" s="11" t="s">
        <v>80</v>
      </c>
      <c r="C69" s="9">
        <v>440040</v>
      </c>
    </row>
    <row r="70" spans="2:3" x14ac:dyDescent="0.3">
      <c r="B70" s="11" t="s">
        <v>13</v>
      </c>
      <c r="C70" s="9">
        <v>46663395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2FB6-2680-4C7D-8AB9-ED790E659BB3}">
  <dimension ref="B2:D70"/>
  <sheetViews>
    <sheetView topLeftCell="A4" workbookViewId="0">
      <selection activeCell="D9" sqref="D9"/>
    </sheetView>
  </sheetViews>
  <sheetFormatPr defaultRowHeight="14.4" x14ac:dyDescent="0.3"/>
  <cols>
    <col min="2" max="2" width="21.5546875" bestFit="1" customWidth="1"/>
    <col min="3" max="3" width="22.5546875" bestFit="1" customWidth="1"/>
    <col min="4" max="4" width="28.77734375" bestFit="1" customWidth="1"/>
  </cols>
  <sheetData>
    <row r="2" spans="2:4" x14ac:dyDescent="0.3">
      <c r="B2" s="10" t="s">
        <v>12</v>
      </c>
      <c r="C2" t="s">
        <v>11</v>
      </c>
      <c r="D2" t="s">
        <v>82</v>
      </c>
    </row>
    <row r="3" spans="2:4" x14ac:dyDescent="0.3">
      <c r="B3" s="11" t="s">
        <v>14</v>
      </c>
      <c r="C3" s="9">
        <v>726181</v>
      </c>
      <c r="D3" s="9">
        <v>738329</v>
      </c>
    </row>
    <row r="4" spans="2:4" x14ac:dyDescent="0.3">
      <c r="B4" s="11" t="s">
        <v>15</v>
      </c>
      <c r="C4" s="9">
        <v>815774</v>
      </c>
      <c r="D4" s="9">
        <v>790133.00000000012</v>
      </c>
    </row>
    <row r="5" spans="2:4" x14ac:dyDescent="0.3">
      <c r="B5" s="11" t="s">
        <v>16</v>
      </c>
      <c r="C5" s="9">
        <v>595435</v>
      </c>
      <c r="D5" s="9">
        <v>550487.33333333337</v>
      </c>
    </row>
    <row r="6" spans="2:4" x14ac:dyDescent="0.3">
      <c r="B6" s="11" t="s">
        <v>17</v>
      </c>
      <c r="C6" s="9">
        <v>344254</v>
      </c>
      <c r="D6" s="9">
        <v>434968.66666666663</v>
      </c>
    </row>
    <row r="7" spans="2:4" x14ac:dyDescent="0.3">
      <c r="B7" s="11" t="s">
        <v>18</v>
      </c>
      <c r="C7" s="9">
        <v>699666</v>
      </c>
      <c r="D7" s="9">
        <v>760443.33333333337</v>
      </c>
    </row>
    <row r="8" spans="2:4" x14ac:dyDescent="0.3">
      <c r="B8" s="11" t="s">
        <v>19</v>
      </c>
      <c r="C8" s="9">
        <v>613273</v>
      </c>
      <c r="D8" s="9">
        <v>561627</v>
      </c>
    </row>
    <row r="9" spans="2:4" x14ac:dyDescent="0.3">
      <c r="B9" s="11" t="s">
        <v>20</v>
      </c>
      <c r="C9" s="9">
        <v>642684</v>
      </c>
      <c r="D9" s="9">
        <v>666572.33333333326</v>
      </c>
    </row>
    <row r="10" spans="2:4" x14ac:dyDescent="0.3">
      <c r="B10" s="11" t="s">
        <v>21</v>
      </c>
      <c r="C10" s="9">
        <v>853358</v>
      </c>
      <c r="D10" s="9">
        <v>905941.66666666674</v>
      </c>
    </row>
    <row r="11" spans="2:4" x14ac:dyDescent="0.3">
      <c r="B11" s="11" t="s">
        <v>22</v>
      </c>
      <c r="C11" s="9">
        <v>810091</v>
      </c>
      <c r="D11" s="9">
        <v>711099.33333333337</v>
      </c>
    </row>
    <row r="12" spans="2:4" x14ac:dyDescent="0.3">
      <c r="B12" s="11" t="s">
        <v>23</v>
      </c>
      <c r="C12" s="9">
        <v>654183</v>
      </c>
      <c r="D12" s="9">
        <v>560443.66666666663</v>
      </c>
    </row>
    <row r="13" spans="2:4" x14ac:dyDescent="0.3">
      <c r="B13" s="11" t="s">
        <v>24</v>
      </c>
      <c r="C13" s="9">
        <v>464023</v>
      </c>
      <c r="D13" s="9">
        <v>635564</v>
      </c>
    </row>
    <row r="14" spans="2:4" x14ac:dyDescent="0.3">
      <c r="B14" s="11" t="s">
        <v>25</v>
      </c>
      <c r="C14" s="9">
        <v>582318</v>
      </c>
      <c r="D14" s="9">
        <v>534655.66666666663</v>
      </c>
    </row>
    <row r="15" spans="2:4" x14ac:dyDescent="0.3">
      <c r="B15" s="11" t="s">
        <v>26</v>
      </c>
      <c r="C15" s="9">
        <v>704327</v>
      </c>
      <c r="D15" s="9">
        <v>838719</v>
      </c>
    </row>
    <row r="16" spans="2:4" x14ac:dyDescent="0.3">
      <c r="B16" s="11" t="s">
        <v>27</v>
      </c>
      <c r="C16" s="9">
        <v>1054834</v>
      </c>
      <c r="D16" s="9">
        <v>1047374.6666666665</v>
      </c>
    </row>
    <row r="17" spans="2:4" x14ac:dyDescent="0.3">
      <c r="B17" s="11" t="s">
        <v>28</v>
      </c>
      <c r="C17" s="9">
        <v>951069</v>
      </c>
      <c r="D17" s="9">
        <v>905028.33333333326</v>
      </c>
    </row>
    <row r="18" spans="2:4" x14ac:dyDescent="0.3">
      <c r="B18" s="11" t="s">
        <v>29</v>
      </c>
      <c r="C18" s="9">
        <v>799210</v>
      </c>
      <c r="D18" s="9">
        <v>684858.33333333326</v>
      </c>
    </row>
    <row r="19" spans="2:4" x14ac:dyDescent="0.3">
      <c r="B19" s="11" t="s">
        <v>30</v>
      </c>
      <c r="C19" s="9">
        <v>790742</v>
      </c>
      <c r="D19" s="9">
        <v>925888</v>
      </c>
    </row>
    <row r="20" spans="2:4" x14ac:dyDescent="0.3">
      <c r="B20" s="11" t="s">
        <v>31</v>
      </c>
      <c r="C20" s="9">
        <v>916465</v>
      </c>
      <c r="D20" s="9">
        <v>882961.33333333326</v>
      </c>
    </row>
    <row r="21" spans="2:4" x14ac:dyDescent="0.3">
      <c r="B21" s="11" t="s">
        <v>32</v>
      </c>
      <c r="C21" s="9">
        <v>665116</v>
      </c>
      <c r="D21" s="9">
        <v>611270.66666666674</v>
      </c>
    </row>
    <row r="22" spans="2:4" x14ac:dyDescent="0.3">
      <c r="B22" s="11" t="s">
        <v>33</v>
      </c>
      <c r="C22" s="9">
        <v>808228</v>
      </c>
      <c r="D22" s="9">
        <v>690485</v>
      </c>
    </row>
    <row r="23" spans="2:4" x14ac:dyDescent="0.3">
      <c r="B23" s="11" t="s">
        <v>34</v>
      </c>
      <c r="C23" s="9">
        <v>380718</v>
      </c>
      <c r="D23" s="9">
        <v>579469.66666666663</v>
      </c>
    </row>
    <row r="24" spans="2:4" x14ac:dyDescent="0.3">
      <c r="B24" s="11" t="s">
        <v>35</v>
      </c>
      <c r="C24" s="9">
        <v>752264</v>
      </c>
      <c r="D24" s="9">
        <v>783091</v>
      </c>
    </row>
    <row r="25" spans="2:4" x14ac:dyDescent="0.3">
      <c r="B25" s="11" t="s">
        <v>36</v>
      </c>
      <c r="C25" s="9">
        <v>801974</v>
      </c>
      <c r="D25" s="9">
        <v>739365.66666666663</v>
      </c>
    </row>
    <row r="26" spans="2:4" x14ac:dyDescent="0.3">
      <c r="B26" s="11" t="s">
        <v>37</v>
      </c>
      <c r="C26" s="9">
        <v>739023</v>
      </c>
      <c r="D26" s="9">
        <v>669480.66666666663</v>
      </c>
    </row>
    <row r="27" spans="2:4" x14ac:dyDescent="0.3">
      <c r="B27" s="11" t="s">
        <v>38</v>
      </c>
      <c r="C27" s="9">
        <v>696740</v>
      </c>
      <c r="D27" s="9">
        <v>782764</v>
      </c>
    </row>
    <row r="28" spans="2:4" x14ac:dyDescent="0.3">
      <c r="B28" s="11" t="s">
        <v>39</v>
      </c>
      <c r="C28" s="9">
        <v>713083</v>
      </c>
      <c r="D28" s="9">
        <v>575899.33333333337</v>
      </c>
    </row>
    <row r="29" spans="2:4" x14ac:dyDescent="0.3">
      <c r="B29" s="11" t="s">
        <v>40</v>
      </c>
      <c r="C29" s="9">
        <v>636440</v>
      </c>
      <c r="D29" s="9">
        <v>750503</v>
      </c>
    </row>
    <row r="30" spans="2:4" x14ac:dyDescent="0.3">
      <c r="B30" s="11" t="s">
        <v>41</v>
      </c>
      <c r="C30" s="9">
        <v>571705</v>
      </c>
      <c r="D30" s="9">
        <v>477695.66666666674</v>
      </c>
    </row>
    <row r="31" spans="2:4" x14ac:dyDescent="0.3">
      <c r="B31" s="11" t="s">
        <v>42</v>
      </c>
      <c r="C31" s="9">
        <v>485095</v>
      </c>
      <c r="D31" s="9">
        <v>450349</v>
      </c>
    </row>
    <row r="32" spans="2:4" x14ac:dyDescent="0.3">
      <c r="B32" s="11" t="s">
        <v>43</v>
      </c>
      <c r="C32" s="9">
        <v>622811</v>
      </c>
      <c r="D32" s="9">
        <v>770957</v>
      </c>
    </row>
    <row r="33" spans="2:4" x14ac:dyDescent="0.3">
      <c r="B33" s="11" t="s">
        <v>44</v>
      </c>
      <c r="C33" s="9">
        <v>739481</v>
      </c>
      <c r="D33" s="9">
        <v>599462.66666666663</v>
      </c>
    </row>
    <row r="34" spans="2:4" x14ac:dyDescent="0.3">
      <c r="B34" s="11" t="s">
        <v>45</v>
      </c>
      <c r="C34" s="9">
        <v>556042</v>
      </c>
      <c r="D34" s="9">
        <v>750921.33333333337</v>
      </c>
    </row>
    <row r="35" spans="2:4" x14ac:dyDescent="0.3">
      <c r="B35" s="11" t="s">
        <v>46</v>
      </c>
      <c r="C35" s="9">
        <v>858618</v>
      </c>
      <c r="D35" s="9">
        <v>827700.00000000012</v>
      </c>
    </row>
    <row r="36" spans="2:4" x14ac:dyDescent="0.3">
      <c r="B36" s="11" t="s">
        <v>47</v>
      </c>
      <c r="C36" s="9">
        <v>935043</v>
      </c>
      <c r="D36" s="9">
        <v>927815.33333333326</v>
      </c>
    </row>
    <row r="37" spans="2:4" x14ac:dyDescent="0.3">
      <c r="B37" s="11" t="s">
        <v>48</v>
      </c>
      <c r="C37" s="9">
        <v>733033</v>
      </c>
      <c r="D37" s="9">
        <v>666729</v>
      </c>
    </row>
    <row r="38" spans="2:4" x14ac:dyDescent="0.3">
      <c r="B38" s="11" t="s">
        <v>49</v>
      </c>
      <c r="C38" s="9">
        <v>753381</v>
      </c>
      <c r="D38" s="9">
        <v>747128</v>
      </c>
    </row>
    <row r="39" spans="2:4" x14ac:dyDescent="0.3">
      <c r="B39" s="11" t="s">
        <v>50</v>
      </c>
      <c r="C39" s="9">
        <v>566101</v>
      </c>
      <c r="D39" s="9">
        <v>521563.33333333337</v>
      </c>
    </row>
    <row r="40" spans="2:4" x14ac:dyDescent="0.3">
      <c r="B40" s="11" t="s">
        <v>51</v>
      </c>
      <c r="C40" s="9">
        <v>714184</v>
      </c>
      <c r="D40" s="9">
        <v>816783</v>
      </c>
    </row>
    <row r="41" spans="2:4" x14ac:dyDescent="0.3">
      <c r="B41" s="11" t="s">
        <v>52</v>
      </c>
      <c r="C41" s="9">
        <v>885645</v>
      </c>
      <c r="D41" s="9">
        <v>719177</v>
      </c>
    </row>
    <row r="42" spans="2:4" x14ac:dyDescent="0.3">
      <c r="B42" s="11" t="s">
        <v>53</v>
      </c>
      <c r="C42" s="9">
        <v>521268</v>
      </c>
      <c r="D42" s="9">
        <v>662378.33333333326</v>
      </c>
    </row>
    <row r="43" spans="2:4" x14ac:dyDescent="0.3">
      <c r="B43" s="11" t="s">
        <v>54</v>
      </c>
      <c r="C43" s="9">
        <v>833149</v>
      </c>
      <c r="D43" s="9">
        <v>883850.66666666663</v>
      </c>
    </row>
    <row r="44" spans="2:4" x14ac:dyDescent="0.3">
      <c r="B44" s="11" t="s">
        <v>55</v>
      </c>
      <c r="C44" s="9">
        <v>907395</v>
      </c>
      <c r="D44" s="9">
        <v>759690.99999999988</v>
      </c>
    </row>
    <row r="45" spans="2:4" x14ac:dyDescent="0.3">
      <c r="B45" s="11" t="s">
        <v>56</v>
      </c>
      <c r="C45" s="9">
        <v>709694</v>
      </c>
      <c r="D45" s="9">
        <v>673143.33333333337</v>
      </c>
    </row>
    <row r="46" spans="2:4" x14ac:dyDescent="0.3">
      <c r="B46" s="11" t="s">
        <v>57</v>
      </c>
      <c r="C46" s="9">
        <v>451254</v>
      </c>
      <c r="D46" s="9">
        <v>664304</v>
      </c>
    </row>
    <row r="47" spans="2:4" x14ac:dyDescent="0.3">
      <c r="B47" s="11" t="s">
        <v>58</v>
      </c>
      <c r="C47" s="9">
        <v>939103</v>
      </c>
      <c r="D47" s="9">
        <v>899844</v>
      </c>
    </row>
    <row r="48" spans="2:4" x14ac:dyDescent="0.3">
      <c r="B48" s="11" t="s">
        <v>59</v>
      </c>
      <c r="C48" s="9">
        <v>820940</v>
      </c>
      <c r="D48" s="9">
        <v>845731.66666666674</v>
      </c>
    </row>
    <row r="49" spans="2:4" x14ac:dyDescent="0.3">
      <c r="B49" s="11" t="s">
        <v>60</v>
      </c>
      <c r="C49" s="9">
        <v>934625</v>
      </c>
      <c r="D49" s="9">
        <v>875916.66666666674</v>
      </c>
    </row>
    <row r="50" spans="2:4" x14ac:dyDescent="0.3">
      <c r="B50" s="11" t="s">
        <v>61</v>
      </c>
      <c r="C50" s="9">
        <v>823305</v>
      </c>
      <c r="D50" s="9">
        <v>879592.33333333326</v>
      </c>
    </row>
    <row r="51" spans="2:4" x14ac:dyDescent="0.3">
      <c r="B51" s="11" t="s">
        <v>62</v>
      </c>
      <c r="C51" s="9">
        <v>852779</v>
      </c>
      <c r="D51" s="9">
        <v>828504.66666666674</v>
      </c>
    </row>
    <row r="52" spans="2:4" x14ac:dyDescent="0.3">
      <c r="B52" s="11" t="s">
        <v>63</v>
      </c>
      <c r="C52" s="9">
        <v>788687</v>
      </c>
      <c r="D52" s="9">
        <v>676935.66666666674</v>
      </c>
    </row>
    <row r="53" spans="2:4" x14ac:dyDescent="0.3">
      <c r="B53" s="11" t="s">
        <v>64</v>
      </c>
      <c r="C53" s="9">
        <v>618662</v>
      </c>
      <c r="D53" s="9">
        <v>717361.66666666663</v>
      </c>
    </row>
    <row r="54" spans="2:4" x14ac:dyDescent="0.3">
      <c r="B54" s="11" t="s">
        <v>65</v>
      </c>
      <c r="C54" s="9">
        <v>931841</v>
      </c>
      <c r="D54" s="9">
        <v>873733.33333333337</v>
      </c>
    </row>
    <row r="55" spans="2:4" x14ac:dyDescent="0.3">
      <c r="B55" s="11" t="s">
        <v>66</v>
      </c>
      <c r="C55" s="9">
        <v>519539</v>
      </c>
      <c r="D55" s="9">
        <v>454436</v>
      </c>
    </row>
    <row r="56" spans="2:4" x14ac:dyDescent="0.3">
      <c r="B56" s="11" t="s">
        <v>67</v>
      </c>
      <c r="C56" s="9">
        <v>656127</v>
      </c>
      <c r="D56" s="9">
        <v>702176</v>
      </c>
    </row>
    <row r="57" spans="2:4" x14ac:dyDescent="0.3">
      <c r="B57" s="11" t="s">
        <v>68</v>
      </c>
      <c r="C57" s="9">
        <v>531150</v>
      </c>
      <c r="D57" s="9">
        <v>593099</v>
      </c>
    </row>
    <row r="58" spans="2:4" x14ac:dyDescent="0.3">
      <c r="B58" s="11" t="s">
        <v>69</v>
      </c>
      <c r="C58" s="9">
        <v>693251</v>
      </c>
      <c r="D58" s="9">
        <v>599860</v>
      </c>
    </row>
    <row r="59" spans="2:4" x14ac:dyDescent="0.3">
      <c r="B59" s="11" t="s">
        <v>70</v>
      </c>
      <c r="C59" s="9">
        <v>412942</v>
      </c>
      <c r="D59" s="9">
        <v>529165.66666666674</v>
      </c>
    </row>
    <row r="60" spans="2:4" x14ac:dyDescent="0.3">
      <c r="B60" s="11" t="s">
        <v>71</v>
      </c>
      <c r="C60" s="9">
        <v>891971</v>
      </c>
      <c r="D60" s="9">
        <v>778035</v>
      </c>
    </row>
    <row r="61" spans="2:4" x14ac:dyDescent="0.3">
      <c r="B61" s="11" t="s">
        <v>72</v>
      </c>
      <c r="C61" s="9">
        <v>774977</v>
      </c>
      <c r="D61" s="9">
        <v>742478.66666666663</v>
      </c>
    </row>
    <row r="62" spans="2:4" x14ac:dyDescent="0.3">
      <c r="B62" s="11" t="s">
        <v>73</v>
      </c>
      <c r="C62" s="9">
        <v>670538</v>
      </c>
      <c r="D62" s="9">
        <v>642320</v>
      </c>
    </row>
    <row r="63" spans="2:4" x14ac:dyDescent="0.3">
      <c r="B63" s="11" t="s">
        <v>74</v>
      </c>
      <c r="C63" s="9">
        <v>322593</v>
      </c>
      <c r="D63" s="9">
        <v>349796.66666666663</v>
      </c>
    </row>
    <row r="64" spans="2:4" x14ac:dyDescent="0.3">
      <c r="B64" s="11" t="s">
        <v>75</v>
      </c>
      <c r="C64" s="9">
        <v>489443</v>
      </c>
      <c r="D64" s="9">
        <v>608259.33333333326</v>
      </c>
    </row>
    <row r="65" spans="2:4" x14ac:dyDescent="0.3">
      <c r="B65" s="11" t="s">
        <v>76</v>
      </c>
      <c r="C65" s="9">
        <v>572788</v>
      </c>
      <c r="D65" s="9">
        <v>529835.66666666674</v>
      </c>
    </row>
    <row r="66" spans="2:4" x14ac:dyDescent="0.3">
      <c r="B66" s="11" t="s">
        <v>77</v>
      </c>
      <c r="C66" s="9">
        <v>665981</v>
      </c>
      <c r="D66" s="9">
        <v>637960</v>
      </c>
    </row>
    <row r="67" spans="2:4" x14ac:dyDescent="0.3">
      <c r="B67" s="11" t="s">
        <v>78</v>
      </c>
      <c r="C67" s="9">
        <v>586956</v>
      </c>
      <c r="D67" s="9">
        <v>601029</v>
      </c>
    </row>
    <row r="68" spans="2:4" x14ac:dyDescent="0.3">
      <c r="B68" s="11" t="s">
        <v>79</v>
      </c>
      <c r="C68" s="9">
        <v>669785</v>
      </c>
      <c r="D68" s="9">
        <v>636918</v>
      </c>
    </row>
    <row r="69" spans="2:4" x14ac:dyDescent="0.3">
      <c r="B69" s="11" t="s">
        <v>80</v>
      </c>
      <c r="C69" s="9">
        <v>440040</v>
      </c>
      <c r="D69" s="9">
        <v>569322</v>
      </c>
    </row>
    <row r="70" spans="2:4" x14ac:dyDescent="0.3">
      <c r="B70" s="11" t="s">
        <v>13</v>
      </c>
      <c r="C70" s="9">
        <v>46663395</v>
      </c>
      <c r="D70" s="9">
        <v>46809383.333333321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48C6-0318-4433-8A03-8C2931B37E42}">
  <dimension ref="A1:R201"/>
  <sheetViews>
    <sheetView tabSelected="1" workbookViewId="0">
      <selection activeCell="J2" sqref="J2"/>
    </sheetView>
  </sheetViews>
  <sheetFormatPr defaultRowHeight="14.4" x14ac:dyDescent="0.3"/>
  <cols>
    <col min="1" max="10" width="11.88671875" customWidth="1"/>
  </cols>
  <sheetData>
    <row r="1" spans="1:18" x14ac:dyDescent="0.3">
      <c r="A1" s="6" t="s">
        <v>4</v>
      </c>
      <c r="B1" s="7" t="s">
        <v>0</v>
      </c>
      <c r="C1" s="8" t="s">
        <v>5</v>
      </c>
      <c r="D1" s="8" t="s">
        <v>6</v>
      </c>
      <c r="E1" s="8" t="s">
        <v>7</v>
      </c>
      <c r="F1" s="7" t="s">
        <v>8</v>
      </c>
      <c r="G1" s="8" t="s">
        <v>9</v>
      </c>
      <c r="H1" s="8" t="s">
        <v>10</v>
      </c>
      <c r="I1" s="8" t="s">
        <v>81</v>
      </c>
      <c r="J1" s="12" t="s">
        <v>83</v>
      </c>
    </row>
    <row r="2" spans="1:18" ht="15.6" x14ac:dyDescent="0.3">
      <c r="A2" s="5">
        <v>45740</v>
      </c>
      <c r="B2" s="1" t="s">
        <v>3</v>
      </c>
      <c r="C2" s="3">
        <v>1398</v>
      </c>
      <c r="D2" s="3">
        <v>97</v>
      </c>
      <c r="E2" s="3">
        <v>397607</v>
      </c>
      <c r="F2" s="2">
        <v>5.09</v>
      </c>
      <c r="G2" s="3">
        <v>7975</v>
      </c>
      <c r="H2" s="4">
        <f t="shared" ref="H2:H33" si="0">E2+C2-D2</f>
        <v>398908</v>
      </c>
      <c r="I2" s="4">
        <f>AVERAGE(H2:H4)</f>
        <v>393122</v>
      </c>
      <c r="J2" s="13">
        <f t="shared" ref="J2:J33" si="1">CORREL(H$1:H$201,G$1:G$201)</f>
        <v>4.3449344345456394E-2</v>
      </c>
      <c r="L2" s="16" t="s">
        <v>84</v>
      </c>
      <c r="M2" s="16"/>
      <c r="N2" s="16"/>
      <c r="O2" s="16"/>
      <c r="P2" s="16"/>
      <c r="Q2" s="16"/>
      <c r="R2" s="16"/>
    </row>
    <row r="3" spans="1:18" x14ac:dyDescent="0.3">
      <c r="A3" s="5">
        <v>45453</v>
      </c>
      <c r="B3" s="1" t="s">
        <v>3</v>
      </c>
      <c r="C3" s="3">
        <v>545</v>
      </c>
      <c r="D3" s="3">
        <v>93</v>
      </c>
      <c r="E3" s="3">
        <v>391621</v>
      </c>
      <c r="F3" s="2">
        <v>9.9600000000000009</v>
      </c>
      <c r="G3" s="3">
        <v>22029</v>
      </c>
      <c r="H3" s="4">
        <f t="shared" si="0"/>
        <v>392073</v>
      </c>
      <c r="I3" s="4">
        <f t="shared" ref="I3:I66" si="2">AVERAGE(H3:H5)</f>
        <v>387396.33333333331</v>
      </c>
      <c r="J3" s="13">
        <f t="shared" si="1"/>
        <v>4.3449344345456394E-2</v>
      </c>
    </row>
    <row r="4" spans="1:18" x14ac:dyDescent="0.3">
      <c r="A4" s="5">
        <v>45845</v>
      </c>
      <c r="B4" s="1" t="s">
        <v>2</v>
      </c>
      <c r="C4" s="3">
        <v>1155</v>
      </c>
      <c r="D4" s="3">
        <v>122</v>
      </c>
      <c r="E4" s="3">
        <v>387352</v>
      </c>
      <c r="F4" s="2">
        <v>9.93</v>
      </c>
      <c r="G4" s="3">
        <v>12170</v>
      </c>
      <c r="H4" s="4">
        <f t="shared" si="0"/>
        <v>388385</v>
      </c>
      <c r="I4" s="4">
        <f t="shared" si="2"/>
        <v>382447.66666666669</v>
      </c>
      <c r="J4" s="13">
        <f t="shared" si="1"/>
        <v>4.3449344345456394E-2</v>
      </c>
    </row>
    <row r="5" spans="1:18" x14ac:dyDescent="0.3">
      <c r="A5" s="5">
        <v>45495</v>
      </c>
      <c r="B5" s="1" t="s">
        <v>3</v>
      </c>
      <c r="C5" s="3">
        <v>1241</v>
      </c>
      <c r="D5" s="3">
        <v>116</v>
      </c>
      <c r="E5" s="3">
        <v>380606</v>
      </c>
      <c r="F5" s="2">
        <v>4.2</v>
      </c>
      <c r="G5" s="3">
        <v>24617</v>
      </c>
      <c r="H5" s="4">
        <f t="shared" si="0"/>
        <v>381731</v>
      </c>
      <c r="I5" s="4">
        <f t="shared" si="2"/>
        <v>378347.33333333331</v>
      </c>
      <c r="J5" s="13">
        <f t="shared" si="1"/>
        <v>4.3449344345456394E-2</v>
      </c>
    </row>
    <row r="6" spans="1:18" x14ac:dyDescent="0.3">
      <c r="A6" s="5">
        <v>45502</v>
      </c>
      <c r="B6" s="1" t="s">
        <v>1</v>
      </c>
      <c r="C6" s="3">
        <v>973</v>
      </c>
      <c r="D6" s="3">
        <v>104</v>
      </c>
      <c r="E6" s="3">
        <v>376358</v>
      </c>
      <c r="F6" s="2">
        <v>3.87</v>
      </c>
      <c r="G6" s="3">
        <v>9847</v>
      </c>
      <c r="H6" s="4">
        <f t="shared" si="0"/>
        <v>377227</v>
      </c>
      <c r="I6" s="4">
        <f t="shared" si="2"/>
        <v>375990.66666666669</v>
      </c>
      <c r="J6" s="13">
        <f t="shared" si="1"/>
        <v>4.3449344345456394E-2</v>
      </c>
    </row>
    <row r="7" spans="1:18" x14ac:dyDescent="0.3">
      <c r="A7" s="5">
        <v>45565</v>
      </c>
      <c r="B7" s="1" t="s">
        <v>1</v>
      </c>
      <c r="C7" s="3">
        <v>1416</v>
      </c>
      <c r="D7" s="3">
        <v>284</v>
      </c>
      <c r="E7" s="3">
        <v>374952</v>
      </c>
      <c r="F7" s="2">
        <v>3.45</v>
      </c>
      <c r="G7" s="3">
        <v>11335</v>
      </c>
      <c r="H7" s="4">
        <f t="shared" si="0"/>
        <v>376084</v>
      </c>
      <c r="I7" s="4">
        <f t="shared" si="2"/>
        <v>374350.33333333331</v>
      </c>
      <c r="J7" s="13">
        <f t="shared" si="1"/>
        <v>4.3449344345456394E-2</v>
      </c>
    </row>
    <row r="8" spans="1:18" x14ac:dyDescent="0.3">
      <c r="A8" s="5">
        <v>45656</v>
      </c>
      <c r="B8" s="1" t="s">
        <v>2</v>
      </c>
      <c r="C8" s="3">
        <v>1490</v>
      </c>
      <c r="D8" s="3">
        <v>103</v>
      </c>
      <c r="E8" s="3">
        <v>373274</v>
      </c>
      <c r="F8" s="2">
        <v>4.8</v>
      </c>
      <c r="G8" s="3">
        <v>19949</v>
      </c>
      <c r="H8" s="4">
        <f t="shared" si="0"/>
        <v>374661</v>
      </c>
      <c r="I8" s="4">
        <f t="shared" si="2"/>
        <v>372795</v>
      </c>
      <c r="J8" s="13">
        <f t="shared" si="1"/>
        <v>4.3449344345456394E-2</v>
      </c>
    </row>
    <row r="9" spans="1:18" x14ac:dyDescent="0.3">
      <c r="A9" s="5">
        <v>45551</v>
      </c>
      <c r="B9" s="1" t="s">
        <v>2</v>
      </c>
      <c r="C9" s="3">
        <v>1373</v>
      </c>
      <c r="D9" s="3">
        <v>82</v>
      </c>
      <c r="E9" s="3">
        <v>371015</v>
      </c>
      <c r="F9" s="2">
        <v>9.52</v>
      </c>
      <c r="G9" s="3">
        <v>20306</v>
      </c>
      <c r="H9" s="4">
        <f t="shared" si="0"/>
        <v>372306</v>
      </c>
      <c r="I9" s="4">
        <f t="shared" si="2"/>
        <v>371098.33333333331</v>
      </c>
      <c r="J9" s="13">
        <f t="shared" si="1"/>
        <v>4.3449344345456394E-2</v>
      </c>
    </row>
    <row r="10" spans="1:18" x14ac:dyDescent="0.3">
      <c r="A10" s="5">
        <v>45446</v>
      </c>
      <c r="B10" s="1" t="s">
        <v>3</v>
      </c>
      <c r="C10" s="3">
        <v>1472</v>
      </c>
      <c r="D10" s="3">
        <v>296</v>
      </c>
      <c r="E10" s="3">
        <v>370242</v>
      </c>
      <c r="F10" s="2">
        <v>7.72</v>
      </c>
      <c r="G10" s="3">
        <v>7810</v>
      </c>
      <c r="H10" s="4">
        <f t="shared" si="0"/>
        <v>371418</v>
      </c>
      <c r="I10" s="4">
        <f t="shared" si="2"/>
        <v>370104.66666666669</v>
      </c>
      <c r="J10" s="13">
        <f t="shared" si="1"/>
        <v>4.3449344345456394E-2</v>
      </c>
    </row>
    <row r="11" spans="1:18" x14ac:dyDescent="0.3">
      <c r="A11" s="5">
        <v>45712</v>
      </c>
      <c r="B11" s="1" t="s">
        <v>3</v>
      </c>
      <c r="C11" s="3">
        <v>978</v>
      </c>
      <c r="D11" s="3">
        <v>279</v>
      </c>
      <c r="E11" s="3">
        <v>368872</v>
      </c>
      <c r="F11" s="2">
        <v>6.82</v>
      </c>
      <c r="G11" s="3">
        <v>18654</v>
      </c>
      <c r="H11" s="4">
        <f t="shared" si="0"/>
        <v>369571</v>
      </c>
      <c r="I11" s="4">
        <f t="shared" si="2"/>
        <v>369329</v>
      </c>
      <c r="J11" s="13">
        <f t="shared" si="1"/>
        <v>4.3449344345456394E-2</v>
      </c>
    </row>
    <row r="12" spans="1:18" x14ac:dyDescent="0.3">
      <c r="A12" s="5">
        <v>45684</v>
      </c>
      <c r="B12" s="1" t="s">
        <v>1</v>
      </c>
      <c r="C12" s="3">
        <v>566</v>
      </c>
      <c r="D12" s="3">
        <v>225</v>
      </c>
      <c r="E12" s="3">
        <v>368984</v>
      </c>
      <c r="F12" s="2">
        <v>9.82</v>
      </c>
      <c r="G12" s="3">
        <v>9592</v>
      </c>
      <c r="H12" s="4">
        <f t="shared" si="0"/>
        <v>369325</v>
      </c>
      <c r="I12" s="4">
        <f t="shared" si="2"/>
        <v>368380.33333333331</v>
      </c>
      <c r="J12" s="13">
        <f t="shared" si="1"/>
        <v>4.3449344345456394E-2</v>
      </c>
    </row>
    <row r="13" spans="1:18" x14ac:dyDescent="0.3">
      <c r="A13" s="5">
        <v>45544</v>
      </c>
      <c r="B13" s="1" t="s">
        <v>1</v>
      </c>
      <c r="C13" s="3">
        <v>912</v>
      </c>
      <c r="D13" s="3">
        <v>275</v>
      </c>
      <c r="E13" s="3">
        <v>368454</v>
      </c>
      <c r="F13" s="2">
        <v>6.03</v>
      </c>
      <c r="G13" s="3">
        <v>9195</v>
      </c>
      <c r="H13" s="4">
        <f t="shared" si="0"/>
        <v>369091</v>
      </c>
      <c r="I13" s="4">
        <f t="shared" si="2"/>
        <v>366485</v>
      </c>
      <c r="J13" s="13">
        <f t="shared" si="1"/>
        <v>4.3449344345456394E-2</v>
      </c>
    </row>
    <row r="14" spans="1:18" x14ac:dyDescent="0.3">
      <c r="A14" s="5">
        <v>45789</v>
      </c>
      <c r="B14" s="1" t="s">
        <v>1</v>
      </c>
      <c r="C14" s="3">
        <v>837</v>
      </c>
      <c r="D14" s="3">
        <v>261</v>
      </c>
      <c r="E14" s="3">
        <v>366149</v>
      </c>
      <c r="F14" s="2">
        <v>6.54</v>
      </c>
      <c r="G14" s="3">
        <v>26073</v>
      </c>
      <c r="H14" s="4">
        <f t="shared" si="0"/>
        <v>366725</v>
      </c>
      <c r="I14" s="4">
        <f t="shared" si="2"/>
        <v>364500.33333333331</v>
      </c>
      <c r="J14" s="13">
        <f t="shared" si="1"/>
        <v>4.3449344345456394E-2</v>
      </c>
    </row>
    <row r="15" spans="1:18" x14ac:dyDescent="0.3">
      <c r="A15" s="5">
        <v>45558</v>
      </c>
      <c r="B15" s="1" t="s">
        <v>2</v>
      </c>
      <c r="C15" s="3">
        <v>1437</v>
      </c>
      <c r="D15" s="3">
        <v>239</v>
      </c>
      <c r="E15" s="3">
        <v>362441</v>
      </c>
      <c r="F15" s="2">
        <v>5.57</v>
      </c>
      <c r="G15" s="3">
        <v>10253</v>
      </c>
      <c r="H15" s="4">
        <f t="shared" si="0"/>
        <v>363639</v>
      </c>
      <c r="I15" s="4">
        <f t="shared" si="2"/>
        <v>362832.66666666669</v>
      </c>
      <c r="J15" s="13">
        <f t="shared" si="1"/>
        <v>4.3449344345456394E-2</v>
      </c>
    </row>
    <row r="16" spans="1:18" x14ac:dyDescent="0.3">
      <c r="A16" s="5">
        <v>45817</v>
      </c>
      <c r="B16" s="1" t="s">
        <v>2</v>
      </c>
      <c r="C16" s="3">
        <v>810</v>
      </c>
      <c r="D16" s="3">
        <v>232</v>
      </c>
      <c r="E16" s="3">
        <v>362559</v>
      </c>
      <c r="F16" s="2">
        <v>5.17</v>
      </c>
      <c r="G16" s="3">
        <v>12937</v>
      </c>
      <c r="H16" s="4">
        <f t="shared" si="0"/>
        <v>363137</v>
      </c>
      <c r="I16" s="4">
        <f t="shared" si="2"/>
        <v>362013.33333333331</v>
      </c>
      <c r="J16" s="13">
        <f t="shared" si="1"/>
        <v>4.3449344345456394E-2</v>
      </c>
    </row>
    <row r="17" spans="1:10" x14ac:dyDescent="0.3">
      <c r="A17" s="5">
        <v>45852</v>
      </c>
      <c r="B17" s="1" t="s">
        <v>3</v>
      </c>
      <c r="C17" s="3">
        <v>1111</v>
      </c>
      <c r="D17" s="3">
        <v>159</v>
      </c>
      <c r="E17" s="3">
        <v>360770</v>
      </c>
      <c r="F17" s="2">
        <v>8.7100000000000009</v>
      </c>
      <c r="G17" s="3">
        <v>11453</v>
      </c>
      <c r="H17" s="4">
        <f t="shared" si="0"/>
        <v>361722</v>
      </c>
      <c r="I17" s="4">
        <f t="shared" si="2"/>
        <v>361003</v>
      </c>
      <c r="J17" s="13">
        <f t="shared" si="1"/>
        <v>4.3449344345456394E-2</v>
      </c>
    </row>
    <row r="18" spans="1:10" x14ac:dyDescent="0.3">
      <c r="A18" s="5">
        <v>45691</v>
      </c>
      <c r="B18" s="1" t="s">
        <v>3</v>
      </c>
      <c r="C18" s="3">
        <v>534</v>
      </c>
      <c r="D18" s="3">
        <v>112</v>
      </c>
      <c r="E18" s="3">
        <v>360759</v>
      </c>
      <c r="F18" s="2">
        <v>4.8899999999999997</v>
      </c>
      <c r="G18" s="3">
        <v>25478</v>
      </c>
      <c r="H18" s="4">
        <f t="shared" si="0"/>
        <v>361181</v>
      </c>
      <c r="I18" s="4">
        <f t="shared" si="2"/>
        <v>360347.66666666669</v>
      </c>
      <c r="J18" s="13">
        <f t="shared" si="1"/>
        <v>4.3449344345456394E-2</v>
      </c>
    </row>
    <row r="19" spans="1:10" x14ac:dyDescent="0.3">
      <c r="A19" s="5">
        <v>45537</v>
      </c>
      <c r="B19" s="1" t="s">
        <v>2</v>
      </c>
      <c r="C19" s="3">
        <v>1098</v>
      </c>
      <c r="D19" s="3">
        <v>142</v>
      </c>
      <c r="E19" s="3">
        <v>359150</v>
      </c>
      <c r="F19" s="2">
        <v>7.51</v>
      </c>
      <c r="G19" s="3">
        <v>16385</v>
      </c>
      <c r="H19" s="4">
        <f t="shared" si="0"/>
        <v>360106</v>
      </c>
      <c r="I19" s="4">
        <f t="shared" si="2"/>
        <v>359729.33333333331</v>
      </c>
      <c r="J19" s="13">
        <f t="shared" si="1"/>
        <v>4.3449344345456394E-2</v>
      </c>
    </row>
    <row r="20" spans="1:10" x14ac:dyDescent="0.3">
      <c r="A20" s="5">
        <v>45565</v>
      </c>
      <c r="B20" s="1" t="s">
        <v>3</v>
      </c>
      <c r="C20" s="3">
        <v>1421</v>
      </c>
      <c r="D20" s="3">
        <v>246</v>
      </c>
      <c r="E20" s="3">
        <v>358581</v>
      </c>
      <c r="F20" s="2">
        <v>8.8800000000000008</v>
      </c>
      <c r="G20" s="3">
        <v>24358</v>
      </c>
      <c r="H20" s="4">
        <f t="shared" si="0"/>
        <v>359756</v>
      </c>
      <c r="I20" s="4">
        <f t="shared" si="2"/>
        <v>358181.66666666669</v>
      </c>
      <c r="J20" s="13">
        <f t="shared" si="1"/>
        <v>4.3449344345456394E-2</v>
      </c>
    </row>
    <row r="21" spans="1:10" x14ac:dyDescent="0.3">
      <c r="A21" s="5">
        <v>45537</v>
      </c>
      <c r="B21" s="1" t="s">
        <v>3</v>
      </c>
      <c r="C21" s="3">
        <v>1096</v>
      </c>
      <c r="D21" s="3">
        <v>65</v>
      </c>
      <c r="E21" s="3">
        <v>358295</v>
      </c>
      <c r="F21" s="2">
        <v>7.66</v>
      </c>
      <c r="G21" s="3">
        <v>24548</v>
      </c>
      <c r="H21" s="4">
        <f t="shared" si="0"/>
        <v>359326</v>
      </c>
      <c r="I21" s="4">
        <f t="shared" si="2"/>
        <v>356496.33333333331</v>
      </c>
      <c r="J21" s="13">
        <f t="shared" si="1"/>
        <v>4.3449344345456394E-2</v>
      </c>
    </row>
    <row r="22" spans="1:10" x14ac:dyDescent="0.3">
      <c r="A22" s="5">
        <v>45887</v>
      </c>
      <c r="B22" s="1" t="s">
        <v>2</v>
      </c>
      <c r="C22" s="3">
        <v>745</v>
      </c>
      <c r="D22" s="3">
        <v>98</v>
      </c>
      <c r="E22" s="3">
        <v>354816</v>
      </c>
      <c r="F22" s="2">
        <v>4.03</v>
      </c>
      <c r="G22" s="3">
        <v>17103</v>
      </c>
      <c r="H22" s="4">
        <f t="shared" si="0"/>
        <v>355463</v>
      </c>
      <c r="I22" s="4">
        <f t="shared" si="2"/>
        <v>354870</v>
      </c>
      <c r="J22" s="13">
        <f t="shared" si="1"/>
        <v>4.3449344345456394E-2</v>
      </c>
    </row>
    <row r="23" spans="1:10" x14ac:dyDescent="0.3">
      <c r="A23" s="5">
        <v>45782</v>
      </c>
      <c r="B23" s="1" t="s">
        <v>1</v>
      </c>
      <c r="C23" s="3">
        <v>1146</v>
      </c>
      <c r="D23" s="3">
        <v>227</v>
      </c>
      <c r="E23" s="3">
        <v>353781</v>
      </c>
      <c r="F23" s="2">
        <v>6.41</v>
      </c>
      <c r="G23" s="3">
        <v>5495</v>
      </c>
      <c r="H23" s="4">
        <f t="shared" si="0"/>
        <v>354700</v>
      </c>
      <c r="I23" s="4">
        <f t="shared" si="2"/>
        <v>354091.33333333331</v>
      </c>
      <c r="J23" s="13">
        <f t="shared" si="1"/>
        <v>4.3449344345456394E-2</v>
      </c>
    </row>
    <row r="24" spans="1:10" x14ac:dyDescent="0.3">
      <c r="A24" s="5">
        <v>45523</v>
      </c>
      <c r="B24" s="1" t="s">
        <v>1</v>
      </c>
      <c r="C24" s="3">
        <v>1002</v>
      </c>
      <c r="D24" s="3">
        <v>93</v>
      </c>
      <c r="E24" s="3">
        <v>353538</v>
      </c>
      <c r="F24" s="2">
        <v>5.84</v>
      </c>
      <c r="G24" s="3">
        <v>6031</v>
      </c>
      <c r="H24" s="4">
        <f t="shared" si="0"/>
        <v>354447</v>
      </c>
      <c r="I24" s="4">
        <f t="shared" si="2"/>
        <v>353533.66666666669</v>
      </c>
      <c r="J24" s="13">
        <f t="shared" si="1"/>
        <v>4.3449344345456394E-2</v>
      </c>
    </row>
    <row r="25" spans="1:10" x14ac:dyDescent="0.3">
      <c r="A25" s="5">
        <v>45621</v>
      </c>
      <c r="B25" s="1" t="s">
        <v>1</v>
      </c>
      <c r="C25" s="3">
        <v>663</v>
      </c>
      <c r="D25" s="3">
        <v>213</v>
      </c>
      <c r="E25" s="3">
        <v>352677</v>
      </c>
      <c r="F25" s="2">
        <v>9</v>
      </c>
      <c r="G25" s="3">
        <v>20438</v>
      </c>
      <c r="H25" s="4">
        <f t="shared" si="0"/>
        <v>353127</v>
      </c>
      <c r="I25" s="4">
        <f t="shared" si="2"/>
        <v>352783.66666666669</v>
      </c>
      <c r="J25" s="13">
        <f t="shared" si="1"/>
        <v>4.3449344345456394E-2</v>
      </c>
    </row>
    <row r="26" spans="1:10" x14ac:dyDescent="0.3">
      <c r="A26" s="5">
        <v>45502</v>
      </c>
      <c r="B26" s="1" t="s">
        <v>3</v>
      </c>
      <c r="C26" s="3">
        <v>983</v>
      </c>
      <c r="D26" s="3">
        <v>134</v>
      </c>
      <c r="E26" s="3">
        <v>352178</v>
      </c>
      <c r="F26" s="2">
        <v>3.55</v>
      </c>
      <c r="G26" s="3">
        <v>11421</v>
      </c>
      <c r="H26" s="4">
        <f t="shared" si="0"/>
        <v>353027</v>
      </c>
      <c r="I26" s="4">
        <f t="shared" si="2"/>
        <v>352437.33333333331</v>
      </c>
      <c r="J26" s="13">
        <f t="shared" si="1"/>
        <v>4.3449344345456394E-2</v>
      </c>
    </row>
    <row r="27" spans="1:10" x14ac:dyDescent="0.3">
      <c r="A27" s="5">
        <v>45628</v>
      </c>
      <c r="B27" s="1" t="s">
        <v>3</v>
      </c>
      <c r="C27" s="3">
        <v>990</v>
      </c>
      <c r="D27" s="3">
        <v>286</v>
      </c>
      <c r="E27" s="3">
        <v>351493</v>
      </c>
      <c r="F27" s="2">
        <v>7.97</v>
      </c>
      <c r="G27" s="3">
        <v>14496</v>
      </c>
      <c r="H27" s="4">
        <f t="shared" si="0"/>
        <v>352197</v>
      </c>
      <c r="I27" s="4">
        <f t="shared" si="2"/>
        <v>351517.33333333331</v>
      </c>
      <c r="J27" s="13">
        <f t="shared" si="1"/>
        <v>4.3449344345456394E-2</v>
      </c>
    </row>
    <row r="28" spans="1:10" x14ac:dyDescent="0.3">
      <c r="A28" s="5">
        <v>45859</v>
      </c>
      <c r="B28" s="1" t="s">
        <v>3</v>
      </c>
      <c r="C28" s="3">
        <v>1246</v>
      </c>
      <c r="D28" s="3">
        <v>107</v>
      </c>
      <c r="E28" s="3">
        <v>350949</v>
      </c>
      <c r="F28" s="2">
        <v>4.9800000000000004</v>
      </c>
      <c r="G28" s="3">
        <v>27809</v>
      </c>
      <c r="H28" s="4">
        <f t="shared" si="0"/>
        <v>352088</v>
      </c>
      <c r="I28" s="4">
        <f t="shared" si="2"/>
        <v>350552.33333333331</v>
      </c>
      <c r="J28" s="13">
        <f t="shared" si="1"/>
        <v>4.3449344345456394E-2</v>
      </c>
    </row>
    <row r="29" spans="1:10" x14ac:dyDescent="0.3">
      <c r="A29" s="5">
        <v>45600</v>
      </c>
      <c r="B29" s="1" t="s">
        <v>2</v>
      </c>
      <c r="C29" s="3">
        <v>1463</v>
      </c>
      <c r="D29" s="3">
        <v>73</v>
      </c>
      <c r="E29" s="3">
        <v>348877</v>
      </c>
      <c r="F29" s="2">
        <v>9.91</v>
      </c>
      <c r="G29" s="3">
        <v>26273</v>
      </c>
      <c r="H29" s="4">
        <f t="shared" si="0"/>
        <v>350267</v>
      </c>
      <c r="I29" s="4">
        <f t="shared" si="2"/>
        <v>348945.66666666669</v>
      </c>
      <c r="J29" s="13">
        <f t="shared" si="1"/>
        <v>4.3449344345456394E-2</v>
      </c>
    </row>
    <row r="30" spans="1:10" x14ac:dyDescent="0.3">
      <c r="A30" s="5">
        <v>45908</v>
      </c>
      <c r="B30" s="1" t="s">
        <v>2</v>
      </c>
      <c r="C30" s="3">
        <v>860</v>
      </c>
      <c r="D30" s="3">
        <v>244</v>
      </c>
      <c r="E30" s="3">
        <v>348686</v>
      </c>
      <c r="F30" s="2">
        <v>5.12</v>
      </c>
      <c r="G30" s="3">
        <v>11418</v>
      </c>
      <c r="H30" s="4">
        <f t="shared" si="0"/>
        <v>349302</v>
      </c>
      <c r="I30" s="4">
        <f t="shared" si="2"/>
        <v>347639.66666666669</v>
      </c>
      <c r="J30" s="13">
        <f t="shared" si="1"/>
        <v>4.3449344345456394E-2</v>
      </c>
    </row>
    <row r="31" spans="1:10" x14ac:dyDescent="0.3">
      <c r="A31" s="5">
        <v>45712</v>
      </c>
      <c r="B31" s="1" t="s">
        <v>1</v>
      </c>
      <c r="C31" s="3">
        <v>645</v>
      </c>
      <c r="D31" s="3">
        <v>267</v>
      </c>
      <c r="E31" s="3">
        <v>346890</v>
      </c>
      <c r="F31" s="2">
        <v>3.71</v>
      </c>
      <c r="G31" s="3">
        <v>24858</v>
      </c>
      <c r="H31" s="4">
        <f t="shared" si="0"/>
        <v>347268</v>
      </c>
      <c r="I31" s="4">
        <f t="shared" si="2"/>
        <v>346619.66666666669</v>
      </c>
      <c r="J31" s="13">
        <f t="shared" si="1"/>
        <v>4.3449344345456394E-2</v>
      </c>
    </row>
    <row r="32" spans="1:10" x14ac:dyDescent="0.3">
      <c r="A32" s="5">
        <v>45761</v>
      </c>
      <c r="B32" s="1" t="s">
        <v>1</v>
      </c>
      <c r="C32" s="3">
        <v>772</v>
      </c>
      <c r="D32" s="3">
        <v>82</v>
      </c>
      <c r="E32" s="3">
        <v>345659</v>
      </c>
      <c r="F32" s="2">
        <v>3.52</v>
      </c>
      <c r="G32" s="3">
        <v>27753</v>
      </c>
      <c r="H32" s="4">
        <f t="shared" si="0"/>
        <v>346349</v>
      </c>
      <c r="I32" s="4">
        <f t="shared" si="2"/>
        <v>346258.33333333331</v>
      </c>
      <c r="J32" s="13">
        <f t="shared" si="1"/>
        <v>4.3449344345456394E-2</v>
      </c>
    </row>
    <row r="33" spans="1:10" x14ac:dyDescent="0.3">
      <c r="A33" s="5">
        <v>45635</v>
      </c>
      <c r="B33" s="1" t="s">
        <v>1</v>
      </c>
      <c r="C33" s="3">
        <v>875</v>
      </c>
      <c r="D33" s="3">
        <v>264</v>
      </c>
      <c r="E33" s="3">
        <v>345631</v>
      </c>
      <c r="F33" s="2">
        <v>9.18</v>
      </c>
      <c r="G33" s="3">
        <v>25703</v>
      </c>
      <c r="H33" s="4">
        <f t="shared" si="0"/>
        <v>346242</v>
      </c>
      <c r="I33" s="4">
        <f t="shared" si="2"/>
        <v>345890.33333333331</v>
      </c>
      <c r="J33" s="13">
        <f t="shared" si="1"/>
        <v>4.3449344345456394E-2</v>
      </c>
    </row>
    <row r="34" spans="1:10" x14ac:dyDescent="0.3">
      <c r="A34" s="5">
        <v>45733</v>
      </c>
      <c r="B34" s="1" t="s">
        <v>2</v>
      </c>
      <c r="C34" s="3">
        <v>576</v>
      </c>
      <c r="D34" s="3">
        <v>80</v>
      </c>
      <c r="E34" s="3">
        <v>345688</v>
      </c>
      <c r="F34" s="2">
        <v>4.1100000000000003</v>
      </c>
      <c r="G34" s="3">
        <v>20474</v>
      </c>
      <c r="H34" s="4">
        <f t="shared" ref="H34:H65" si="3">E34+C34-D34</f>
        <v>346184</v>
      </c>
      <c r="I34" s="4">
        <f t="shared" si="2"/>
        <v>344879.66666666669</v>
      </c>
      <c r="J34" s="13">
        <f t="shared" ref="J34:J65" si="4">CORREL(H$1:H$201,G$1:G$201)</f>
        <v>4.3449344345456394E-2</v>
      </c>
    </row>
    <row r="35" spans="1:10" x14ac:dyDescent="0.3">
      <c r="A35" s="5">
        <v>45558</v>
      </c>
      <c r="B35" s="1" t="s">
        <v>3</v>
      </c>
      <c r="C35" s="3">
        <v>769</v>
      </c>
      <c r="D35" s="3">
        <v>295</v>
      </c>
      <c r="E35" s="3">
        <v>344771</v>
      </c>
      <c r="F35" s="2">
        <v>8.06</v>
      </c>
      <c r="G35" s="3">
        <v>23963</v>
      </c>
      <c r="H35" s="4">
        <f t="shared" si="3"/>
        <v>345245</v>
      </c>
      <c r="I35" s="4">
        <f t="shared" si="2"/>
        <v>343593</v>
      </c>
      <c r="J35" s="13">
        <f t="shared" si="4"/>
        <v>4.3449344345456394E-2</v>
      </c>
    </row>
    <row r="36" spans="1:10" x14ac:dyDescent="0.3">
      <c r="A36" s="5">
        <v>45670</v>
      </c>
      <c r="B36" s="1" t="s">
        <v>2</v>
      </c>
      <c r="C36" s="3">
        <v>1414</v>
      </c>
      <c r="D36" s="3">
        <v>60</v>
      </c>
      <c r="E36" s="3">
        <v>341856</v>
      </c>
      <c r="F36" s="2">
        <v>8.76</v>
      </c>
      <c r="G36" s="3">
        <v>6868</v>
      </c>
      <c r="H36" s="4">
        <f t="shared" si="3"/>
        <v>343210</v>
      </c>
      <c r="I36" s="4">
        <f t="shared" si="2"/>
        <v>342411.33333333331</v>
      </c>
      <c r="J36" s="13">
        <f t="shared" si="4"/>
        <v>4.3449344345456394E-2</v>
      </c>
    </row>
    <row r="37" spans="1:10" x14ac:dyDescent="0.3">
      <c r="A37" s="5">
        <v>45754</v>
      </c>
      <c r="B37" s="1" t="s">
        <v>1</v>
      </c>
      <c r="C37" s="3">
        <v>1417</v>
      </c>
      <c r="D37" s="3">
        <v>80</v>
      </c>
      <c r="E37" s="3">
        <v>340987</v>
      </c>
      <c r="F37" s="2">
        <v>6.13</v>
      </c>
      <c r="G37" s="3">
        <v>10104</v>
      </c>
      <c r="H37" s="4">
        <f t="shared" si="3"/>
        <v>342324</v>
      </c>
      <c r="I37" s="4">
        <f t="shared" si="2"/>
        <v>341846.33333333331</v>
      </c>
      <c r="J37" s="13">
        <f t="shared" si="4"/>
        <v>4.3449344345456394E-2</v>
      </c>
    </row>
    <row r="38" spans="1:10" x14ac:dyDescent="0.3">
      <c r="A38" s="5">
        <v>45803</v>
      </c>
      <c r="B38" s="1" t="s">
        <v>3</v>
      </c>
      <c r="C38" s="3">
        <v>826</v>
      </c>
      <c r="D38" s="3">
        <v>142</v>
      </c>
      <c r="E38" s="3">
        <v>341016</v>
      </c>
      <c r="F38" s="2">
        <v>7.44</v>
      </c>
      <c r="G38" s="3">
        <v>12031</v>
      </c>
      <c r="H38" s="4">
        <f t="shared" si="3"/>
        <v>341700</v>
      </c>
      <c r="I38" s="4">
        <f t="shared" si="2"/>
        <v>341556</v>
      </c>
      <c r="J38" s="13">
        <f t="shared" si="4"/>
        <v>4.3449344345456394E-2</v>
      </c>
    </row>
    <row r="39" spans="1:10" x14ac:dyDescent="0.3">
      <c r="A39" s="5">
        <v>45726</v>
      </c>
      <c r="B39" s="1" t="s">
        <v>3</v>
      </c>
      <c r="C39" s="3">
        <v>950</v>
      </c>
      <c r="D39" s="3">
        <v>185</v>
      </c>
      <c r="E39" s="3">
        <v>340750</v>
      </c>
      <c r="F39" s="2">
        <v>6.77</v>
      </c>
      <c r="G39" s="3">
        <v>25542</v>
      </c>
      <c r="H39" s="4">
        <f t="shared" si="3"/>
        <v>341515</v>
      </c>
      <c r="I39" s="4">
        <f t="shared" si="2"/>
        <v>341360</v>
      </c>
      <c r="J39" s="13">
        <f t="shared" si="4"/>
        <v>4.3449344345456394E-2</v>
      </c>
    </row>
    <row r="40" spans="1:10" x14ac:dyDescent="0.3">
      <c r="A40" s="5">
        <v>45880</v>
      </c>
      <c r="B40" s="1" t="s">
        <v>1</v>
      </c>
      <c r="C40" s="3">
        <v>1080</v>
      </c>
      <c r="D40" s="3">
        <v>184</v>
      </c>
      <c r="E40" s="3">
        <v>340557</v>
      </c>
      <c r="F40" s="2">
        <v>5.41</v>
      </c>
      <c r="G40" s="3">
        <v>5526</v>
      </c>
      <c r="H40" s="4">
        <f t="shared" si="3"/>
        <v>341453</v>
      </c>
      <c r="I40" s="4">
        <f t="shared" si="2"/>
        <v>341117.66666666669</v>
      </c>
      <c r="J40" s="13">
        <f t="shared" si="4"/>
        <v>4.3449344345456394E-2</v>
      </c>
    </row>
    <row r="41" spans="1:10" x14ac:dyDescent="0.3">
      <c r="A41" s="5">
        <v>45754</v>
      </c>
      <c r="B41" s="1" t="s">
        <v>2</v>
      </c>
      <c r="C41" s="3">
        <v>1222</v>
      </c>
      <c r="D41" s="3">
        <v>208</v>
      </c>
      <c r="E41" s="3">
        <v>340098</v>
      </c>
      <c r="F41" s="2">
        <v>7.34</v>
      </c>
      <c r="G41" s="3">
        <v>21771</v>
      </c>
      <c r="H41" s="4">
        <f t="shared" si="3"/>
        <v>341112</v>
      </c>
      <c r="I41" s="4">
        <f t="shared" si="2"/>
        <v>340345.33333333331</v>
      </c>
      <c r="J41" s="13">
        <f t="shared" si="4"/>
        <v>4.3449344345456394E-2</v>
      </c>
    </row>
    <row r="42" spans="1:10" x14ac:dyDescent="0.3">
      <c r="A42" s="5">
        <v>45481</v>
      </c>
      <c r="B42" s="1" t="s">
        <v>1</v>
      </c>
      <c r="C42" s="3">
        <v>797</v>
      </c>
      <c r="D42" s="3">
        <v>130</v>
      </c>
      <c r="E42" s="3">
        <v>340121</v>
      </c>
      <c r="F42" s="2">
        <v>8.52</v>
      </c>
      <c r="G42" s="3">
        <v>11684</v>
      </c>
      <c r="H42" s="4">
        <f t="shared" si="3"/>
        <v>340788</v>
      </c>
      <c r="I42" s="4">
        <f t="shared" si="2"/>
        <v>339650.66666666669</v>
      </c>
      <c r="J42" s="13">
        <f t="shared" si="4"/>
        <v>4.3449344345456394E-2</v>
      </c>
    </row>
    <row r="43" spans="1:10" x14ac:dyDescent="0.3">
      <c r="A43" s="5">
        <v>45768</v>
      </c>
      <c r="B43" s="1" t="s">
        <v>2</v>
      </c>
      <c r="C43" s="3">
        <v>747</v>
      </c>
      <c r="D43" s="3">
        <v>261</v>
      </c>
      <c r="E43" s="3">
        <v>338650</v>
      </c>
      <c r="F43" s="2">
        <v>7.73</v>
      </c>
      <c r="G43" s="3">
        <v>25259</v>
      </c>
      <c r="H43" s="4">
        <f t="shared" si="3"/>
        <v>339136</v>
      </c>
      <c r="I43" s="4">
        <f t="shared" si="2"/>
        <v>338301</v>
      </c>
      <c r="J43" s="13">
        <f t="shared" si="4"/>
        <v>4.3449344345456394E-2</v>
      </c>
    </row>
    <row r="44" spans="1:10" x14ac:dyDescent="0.3">
      <c r="A44" s="5">
        <v>45670</v>
      </c>
      <c r="B44" s="1" t="s">
        <v>1</v>
      </c>
      <c r="C44" s="3">
        <v>532</v>
      </c>
      <c r="D44" s="3">
        <v>65</v>
      </c>
      <c r="E44" s="3">
        <v>338561</v>
      </c>
      <c r="F44" s="2">
        <v>3.5</v>
      </c>
      <c r="G44" s="3">
        <v>14749</v>
      </c>
      <c r="H44" s="4">
        <f t="shared" si="3"/>
        <v>339028</v>
      </c>
      <c r="I44" s="4">
        <f t="shared" si="2"/>
        <v>337056.33333333331</v>
      </c>
      <c r="J44" s="13">
        <f t="shared" si="4"/>
        <v>4.3449344345456394E-2</v>
      </c>
    </row>
    <row r="45" spans="1:10" x14ac:dyDescent="0.3">
      <c r="A45" s="5">
        <v>45705</v>
      </c>
      <c r="B45" s="1" t="s">
        <v>3</v>
      </c>
      <c r="C45" s="3">
        <v>646</v>
      </c>
      <c r="D45" s="3">
        <v>290</v>
      </c>
      <c r="E45" s="3">
        <v>336383</v>
      </c>
      <c r="F45" s="2">
        <v>7.04</v>
      </c>
      <c r="G45" s="3">
        <v>6532</v>
      </c>
      <c r="H45" s="4">
        <f t="shared" si="3"/>
        <v>336739</v>
      </c>
      <c r="I45" s="4">
        <f t="shared" si="2"/>
        <v>335612</v>
      </c>
      <c r="J45" s="13">
        <f t="shared" si="4"/>
        <v>4.3449344345456394E-2</v>
      </c>
    </row>
    <row r="46" spans="1:10" x14ac:dyDescent="0.3">
      <c r="A46" s="5">
        <v>45537</v>
      </c>
      <c r="B46" s="1" t="s">
        <v>1</v>
      </c>
      <c r="C46" s="3">
        <v>721</v>
      </c>
      <c r="D46" s="3">
        <v>206</v>
      </c>
      <c r="E46" s="3">
        <v>334887</v>
      </c>
      <c r="F46" s="2">
        <v>6.05</v>
      </c>
      <c r="G46" s="3">
        <v>14217</v>
      </c>
      <c r="H46" s="4">
        <f t="shared" si="3"/>
        <v>335402</v>
      </c>
      <c r="I46" s="4">
        <f t="shared" si="2"/>
        <v>334759.66666666669</v>
      </c>
      <c r="J46" s="13">
        <f t="shared" si="4"/>
        <v>4.3449344345456394E-2</v>
      </c>
    </row>
    <row r="47" spans="1:10" x14ac:dyDescent="0.3">
      <c r="A47" s="5">
        <v>45677</v>
      </c>
      <c r="B47" s="1" t="s">
        <v>3</v>
      </c>
      <c r="C47" s="3">
        <v>1105</v>
      </c>
      <c r="D47" s="3">
        <v>261</v>
      </c>
      <c r="E47" s="3">
        <v>333851</v>
      </c>
      <c r="F47" s="2">
        <v>6.03</v>
      </c>
      <c r="G47" s="3">
        <v>11181</v>
      </c>
      <c r="H47" s="4">
        <f t="shared" si="3"/>
        <v>334695</v>
      </c>
      <c r="I47" s="4">
        <f t="shared" si="2"/>
        <v>333058.66666666669</v>
      </c>
      <c r="J47" s="13">
        <f t="shared" si="4"/>
        <v>4.3449344345456394E-2</v>
      </c>
    </row>
    <row r="48" spans="1:10" x14ac:dyDescent="0.3">
      <c r="A48" s="5">
        <v>45614</v>
      </c>
      <c r="B48" s="1" t="s">
        <v>3</v>
      </c>
      <c r="C48" s="3">
        <v>793</v>
      </c>
      <c r="D48" s="3">
        <v>111</v>
      </c>
      <c r="E48" s="3">
        <v>333500</v>
      </c>
      <c r="F48" s="2">
        <v>6.36</v>
      </c>
      <c r="G48" s="3">
        <v>8910</v>
      </c>
      <c r="H48" s="4">
        <f t="shared" si="3"/>
        <v>334182</v>
      </c>
      <c r="I48" s="4">
        <f t="shared" si="2"/>
        <v>330949.66666666669</v>
      </c>
      <c r="J48" s="13">
        <f t="shared" si="4"/>
        <v>4.3449344345456394E-2</v>
      </c>
    </row>
    <row r="49" spans="1:10" x14ac:dyDescent="0.3">
      <c r="A49" s="5">
        <v>45453</v>
      </c>
      <c r="B49" s="1" t="s">
        <v>2</v>
      </c>
      <c r="C49" s="3">
        <v>1461</v>
      </c>
      <c r="D49" s="3">
        <v>64</v>
      </c>
      <c r="E49" s="3">
        <v>328902</v>
      </c>
      <c r="F49" s="2">
        <v>9.02</v>
      </c>
      <c r="G49" s="3">
        <v>26298</v>
      </c>
      <c r="H49" s="4">
        <f t="shared" si="3"/>
        <v>330299</v>
      </c>
      <c r="I49" s="4">
        <f t="shared" si="2"/>
        <v>328943.66666666669</v>
      </c>
      <c r="J49" s="13">
        <f t="shared" si="4"/>
        <v>4.3449344345456394E-2</v>
      </c>
    </row>
    <row r="50" spans="1:10" x14ac:dyDescent="0.3">
      <c r="A50" s="5">
        <v>45796</v>
      </c>
      <c r="B50" s="1" t="s">
        <v>2</v>
      </c>
      <c r="C50" s="3">
        <v>1430</v>
      </c>
      <c r="D50" s="3">
        <v>74</v>
      </c>
      <c r="E50" s="3">
        <v>327012</v>
      </c>
      <c r="F50" s="2">
        <v>6.66</v>
      </c>
      <c r="G50" s="3">
        <v>27782</v>
      </c>
      <c r="H50" s="4">
        <f t="shared" si="3"/>
        <v>328368</v>
      </c>
      <c r="I50" s="4">
        <f t="shared" si="2"/>
        <v>328175</v>
      </c>
      <c r="J50" s="13">
        <f t="shared" si="4"/>
        <v>4.3449344345456394E-2</v>
      </c>
    </row>
    <row r="51" spans="1:10" x14ac:dyDescent="0.3">
      <c r="A51" s="5">
        <v>45677</v>
      </c>
      <c r="B51" s="1" t="s">
        <v>1</v>
      </c>
      <c r="C51" s="3">
        <v>601</v>
      </c>
      <c r="D51" s="3">
        <v>159</v>
      </c>
      <c r="E51" s="3">
        <v>327722</v>
      </c>
      <c r="F51" s="2">
        <v>3.33</v>
      </c>
      <c r="G51" s="3">
        <v>25267</v>
      </c>
      <c r="H51" s="4">
        <f t="shared" si="3"/>
        <v>328164</v>
      </c>
      <c r="I51" s="4">
        <f t="shared" si="2"/>
        <v>327942.66666666669</v>
      </c>
      <c r="J51" s="13">
        <f t="shared" si="4"/>
        <v>4.3449344345456394E-2</v>
      </c>
    </row>
    <row r="52" spans="1:10" x14ac:dyDescent="0.3">
      <c r="A52" s="5">
        <v>45600</v>
      </c>
      <c r="B52" s="1" t="s">
        <v>1</v>
      </c>
      <c r="C52" s="3">
        <v>1437</v>
      </c>
      <c r="D52" s="3">
        <v>235</v>
      </c>
      <c r="E52" s="3">
        <v>326791</v>
      </c>
      <c r="F52" s="2">
        <v>4.0599999999999996</v>
      </c>
      <c r="G52" s="3">
        <v>14563</v>
      </c>
      <c r="H52" s="4">
        <f t="shared" si="3"/>
        <v>327993</v>
      </c>
      <c r="I52" s="4">
        <f t="shared" si="2"/>
        <v>327410.33333333331</v>
      </c>
      <c r="J52" s="13">
        <f t="shared" si="4"/>
        <v>4.3449344345456394E-2</v>
      </c>
    </row>
    <row r="53" spans="1:10" x14ac:dyDescent="0.3">
      <c r="A53" s="5">
        <v>45649</v>
      </c>
      <c r="B53" s="1" t="s">
        <v>3</v>
      </c>
      <c r="C53" s="3">
        <v>935</v>
      </c>
      <c r="D53" s="3">
        <v>85</v>
      </c>
      <c r="E53" s="3">
        <v>326821</v>
      </c>
      <c r="F53" s="2">
        <v>8.89</v>
      </c>
      <c r="G53" s="3">
        <v>13301</v>
      </c>
      <c r="H53" s="4">
        <f t="shared" si="3"/>
        <v>327671</v>
      </c>
      <c r="I53" s="4">
        <f t="shared" si="2"/>
        <v>325283</v>
      </c>
      <c r="J53" s="13">
        <f t="shared" si="4"/>
        <v>4.3449344345456394E-2</v>
      </c>
    </row>
    <row r="54" spans="1:10" x14ac:dyDescent="0.3">
      <c r="A54" s="5">
        <v>45579</v>
      </c>
      <c r="B54" s="1" t="s">
        <v>3</v>
      </c>
      <c r="C54" s="3">
        <v>1457</v>
      </c>
      <c r="D54" s="3">
        <v>215</v>
      </c>
      <c r="E54" s="3">
        <v>325325</v>
      </c>
      <c r="F54" s="2">
        <v>9.58</v>
      </c>
      <c r="G54" s="3">
        <v>14178</v>
      </c>
      <c r="H54" s="4">
        <f t="shared" si="3"/>
        <v>326567</v>
      </c>
      <c r="I54" s="4">
        <f t="shared" si="2"/>
        <v>322677</v>
      </c>
      <c r="J54" s="13">
        <f t="shared" si="4"/>
        <v>4.3449344345456394E-2</v>
      </c>
    </row>
    <row r="55" spans="1:10" x14ac:dyDescent="0.3">
      <c r="A55" s="5">
        <v>45768</v>
      </c>
      <c r="B55" s="1" t="s">
        <v>1</v>
      </c>
      <c r="C55" s="3">
        <v>585</v>
      </c>
      <c r="D55" s="3">
        <v>232</v>
      </c>
      <c r="E55" s="3">
        <v>321258</v>
      </c>
      <c r="F55" s="2">
        <v>7.42</v>
      </c>
      <c r="G55" s="3">
        <v>10343</v>
      </c>
      <c r="H55" s="4">
        <f t="shared" si="3"/>
        <v>321611</v>
      </c>
      <c r="I55" s="4">
        <f t="shared" si="2"/>
        <v>320106.66666666669</v>
      </c>
      <c r="J55" s="13">
        <f t="shared" si="4"/>
        <v>4.3449344345456394E-2</v>
      </c>
    </row>
    <row r="56" spans="1:10" x14ac:dyDescent="0.3">
      <c r="A56" s="5">
        <v>45572</v>
      </c>
      <c r="B56" s="1" t="s">
        <v>1</v>
      </c>
      <c r="C56" s="3">
        <v>764</v>
      </c>
      <c r="D56" s="3">
        <v>205</v>
      </c>
      <c r="E56" s="3">
        <v>319294</v>
      </c>
      <c r="F56" s="2">
        <v>6.23</v>
      </c>
      <c r="G56" s="3">
        <v>12181</v>
      </c>
      <c r="H56" s="4">
        <f t="shared" si="3"/>
        <v>319853</v>
      </c>
      <c r="I56" s="4">
        <f t="shared" si="2"/>
        <v>318624.66666666669</v>
      </c>
      <c r="J56" s="13">
        <f t="shared" si="4"/>
        <v>4.3449344345456394E-2</v>
      </c>
    </row>
    <row r="57" spans="1:10" x14ac:dyDescent="0.3">
      <c r="A57" s="5">
        <v>45509</v>
      </c>
      <c r="B57" s="1" t="s">
        <v>3</v>
      </c>
      <c r="C57" s="3">
        <v>937</v>
      </c>
      <c r="D57" s="3">
        <v>179</v>
      </c>
      <c r="E57" s="3">
        <v>318098</v>
      </c>
      <c r="F57" s="2">
        <v>5.3</v>
      </c>
      <c r="G57" s="3">
        <v>5836</v>
      </c>
      <c r="H57" s="4">
        <f t="shared" si="3"/>
        <v>318856</v>
      </c>
      <c r="I57" s="4">
        <f t="shared" si="2"/>
        <v>317246</v>
      </c>
      <c r="J57" s="13">
        <f t="shared" si="4"/>
        <v>4.3449344345456394E-2</v>
      </c>
    </row>
    <row r="58" spans="1:10" x14ac:dyDescent="0.3">
      <c r="A58" s="5">
        <v>45803</v>
      </c>
      <c r="B58" s="1" t="s">
        <v>2</v>
      </c>
      <c r="C58" s="3">
        <v>1389</v>
      </c>
      <c r="D58" s="3">
        <v>205</v>
      </c>
      <c r="E58" s="3">
        <v>315981</v>
      </c>
      <c r="F58" s="2">
        <v>7.62</v>
      </c>
      <c r="G58" s="3">
        <v>20595</v>
      </c>
      <c r="H58" s="4">
        <f t="shared" si="3"/>
        <v>317165</v>
      </c>
      <c r="I58" s="4">
        <f t="shared" si="2"/>
        <v>315564.66666666669</v>
      </c>
      <c r="J58" s="13">
        <f t="shared" si="4"/>
        <v>4.3449344345456394E-2</v>
      </c>
    </row>
    <row r="59" spans="1:10" x14ac:dyDescent="0.3">
      <c r="A59" s="5">
        <v>45691</v>
      </c>
      <c r="B59" s="1" t="s">
        <v>1</v>
      </c>
      <c r="C59" s="3">
        <v>795</v>
      </c>
      <c r="D59" s="3">
        <v>60</v>
      </c>
      <c r="E59" s="3">
        <v>314982</v>
      </c>
      <c r="F59" s="2">
        <v>7.31</v>
      </c>
      <c r="G59" s="3">
        <v>6824</v>
      </c>
      <c r="H59" s="4">
        <f t="shared" si="3"/>
        <v>315717</v>
      </c>
      <c r="I59" s="4">
        <f t="shared" si="2"/>
        <v>313719</v>
      </c>
      <c r="J59" s="13">
        <f t="shared" si="4"/>
        <v>4.3449344345456394E-2</v>
      </c>
    </row>
    <row r="60" spans="1:10" x14ac:dyDescent="0.3">
      <c r="A60" s="5">
        <v>45901</v>
      </c>
      <c r="B60" s="1" t="s">
        <v>3</v>
      </c>
      <c r="C60" s="3">
        <v>503</v>
      </c>
      <c r="D60" s="3">
        <v>253</v>
      </c>
      <c r="E60" s="3">
        <v>313562</v>
      </c>
      <c r="F60" s="2">
        <v>4.18</v>
      </c>
      <c r="G60" s="3">
        <v>19538</v>
      </c>
      <c r="H60" s="4">
        <f t="shared" si="3"/>
        <v>313812</v>
      </c>
      <c r="I60" s="4">
        <f t="shared" si="2"/>
        <v>311715.66666666669</v>
      </c>
      <c r="J60" s="13">
        <f t="shared" si="4"/>
        <v>4.3449344345456394E-2</v>
      </c>
    </row>
    <row r="61" spans="1:10" x14ac:dyDescent="0.3">
      <c r="A61" s="5">
        <v>45544</v>
      </c>
      <c r="B61" s="1" t="s">
        <v>3</v>
      </c>
      <c r="C61" s="3">
        <v>854</v>
      </c>
      <c r="D61" s="3">
        <v>129</v>
      </c>
      <c r="E61" s="3">
        <v>310903</v>
      </c>
      <c r="F61" s="2">
        <v>7.83</v>
      </c>
      <c r="G61" s="3">
        <v>16875</v>
      </c>
      <c r="H61" s="4">
        <f t="shared" si="3"/>
        <v>311628</v>
      </c>
      <c r="I61" s="4">
        <f t="shared" si="2"/>
        <v>309682.33333333331</v>
      </c>
      <c r="J61" s="13">
        <f t="shared" si="4"/>
        <v>4.3449344345456394E-2</v>
      </c>
    </row>
    <row r="62" spans="1:10" x14ac:dyDescent="0.3">
      <c r="A62" s="5">
        <v>45593</v>
      </c>
      <c r="B62" s="1" t="s">
        <v>1</v>
      </c>
      <c r="C62" s="3">
        <v>1435</v>
      </c>
      <c r="D62" s="3">
        <v>261</v>
      </c>
      <c r="E62" s="3">
        <v>308533</v>
      </c>
      <c r="F62" s="2">
        <v>4.5199999999999996</v>
      </c>
      <c r="G62" s="3">
        <v>25130</v>
      </c>
      <c r="H62" s="4">
        <f t="shared" si="3"/>
        <v>309707</v>
      </c>
      <c r="I62" s="4">
        <f t="shared" si="2"/>
        <v>306311</v>
      </c>
      <c r="J62" s="13">
        <f t="shared" si="4"/>
        <v>4.3449344345456394E-2</v>
      </c>
    </row>
    <row r="63" spans="1:10" x14ac:dyDescent="0.3">
      <c r="A63" s="5">
        <v>45607</v>
      </c>
      <c r="B63" s="1" t="s">
        <v>1</v>
      </c>
      <c r="C63" s="3">
        <v>1391</v>
      </c>
      <c r="D63" s="3">
        <v>187</v>
      </c>
      <c r="E63" s="3">
        <v>306508</v>
      </c>
      <c r="F63" s="2">
        <v>8.3800000000000008</v>
      </c>
      <c r="G63" s="3">
        <v>25038</v>
      </c>
      <c r="H63" s="4">
        <f t="shared" si="3"/>
        <v>307712</v>
      </c>
      <c r="I63" s="4">
        <f t="shared" si="2"/>
        <v>302410.33333333331</v>
      </c>
      <c r="J63" s="13">
        <f t="shared" si="4"/>
        <v>4.3449344345456394E-2</v>
      </c>
    </row>
    <row r="64" spans="1:10" x14ac:dyDescent="0.3">
      <c r="A64" s="5">
        <v>45474</v>
      </c>
      <c r="B64" s="1" t="s">
        <v>3</v>
      </c>
      <c r="C64" s="3">
        <v>1218</v>
      </c>
      <c r="D64" s="3">
        <v>101</v>
      </c>
      <c r="E64" s="3">
        <v>300397</v>
      </c>
      <c r="F64" s="2">
        <v>4.33</v>
      </c>
      <c r="G64" s="3">
        <v>12277</v>
      </c>
      <c r="H64" s="4">
        <f t="shared" si="3"/>
        <v>301514</v>
      </c>
      <c r="I64" s="4">
        <f t="shared" si="2"/>
        <v>299045.66666666669</v>
      </c>
      <c r="J64" s="13">
        <f t="shared" si="4"/>
        <v>4.3449344345456394E-2</v>
      </c>
    </row>
    <row r="65" spans="1:10" x14ac:dyDescent="0.3">
      <c r="A65" s="5">
        <v>45698</v>
      </c>
      <c r="B65" s="1" t="s">
        <v>1</v>
      </c>
      <c r="C65" s="3">
        <v>1066</v>
      </c>
      <c r="D65" s="3">
        <v>151</v>
      </c>
      <c r="E65" s="3">
        <v>297090</v>
      </c>
      <c r="F65" s="2">
        <v>8.6300000000000008</v>
      </c>
      <c r="G65" s="3">
        <v>11235</v>
      </c>
      <c r="H65" s="4">
        <f t="shared" si="3"/>
        <v>298005</v>
      </c>
      <c r="I65" s="4">
        <f t="shared" si="2"/>
        <v>297406</v>
      </c>
      <c r="J65" s="13">
        <f t="shared" si="4"/>
        <v>4.3449344345456394E-2</v>
      </c>
    </row>
    <row r="66" spans="1:10" x14ac:dyDescent="0.3">
      <c r="A66" s="5">
        <v>45894</v>
      </c>
      <c r="B66" s="1" t="s">
        <v>2</v>
      </c>
      <c r="C66" s="3">
        <v>1413</v>
      </c>
      <c r="D66" s="3">
        <v>245</v>
      </c>
      <c r="E66" s="3">
        <v>296450</v>
      </c>
      <c r="F66" s="2">
        <v>6.52</v>
      </c>
      <c r="G66" s="3">
        <v>11625</v>
      </c>
      <c r="H66" s="4">
        <f t="shared" ref="H66:H97" si="5">E66+C66-D66</f>
        <v>297618</v>
      </c>
      <c r="I66" s="4">
        <f t="shared" si="2"/>
        <v>296616</v>
      </c>
      <c r="J66" s="13">
        <f t="shared" ref="J66:J97" si="6">CORREL(H$1:H$201,G$1:G$201)</f>
        <v>4.3449344345456394E-2</v>
      </c>
    </row>
    <row r="67" spans="1:10" x14ac:dyDescent="0.3">
      <c r="A67" s="5">
        <v>45733</v>
      </c>
      <c r="B67" s="1" t="s">
        <v>1</v>
      </c>
      <c r="C67" s="3">
        <v>693</v>
      </c>
      <c r="D67" s="3">
        <v>129</v>
      </c>
      <c r="E67" s="3">
        <v>296031</v>
      </c>
      <c r="F67" s="2">
        <v>3.41</v>
      </c>
      <c r="G67" s="3">
        <v>7140</v>
      </c>
      <c r="H67" s="4">
        <f t="shared" si="5"/>
        <v>296595</v>
      </c>
      <c r="I67" s="4">
        <f t="shared" ref="I67:I130" si="7">AVERAGE(H67:H69)</f>
        <v>295529.33333333331</v>
      </c>
      <c r="J67" s="13">
        <f t="shared" si="6"/>
        <v>4.3449344345456394E-2</v>
      </c>
    </row>
    <row r="68" spans="1:10" x14ac:dyDescent="0.3">
      <c r="A68" s="5">
        <v>45726</v>
      </c>
      <c r="B68" s="1" t="s">
        <v>1</v>
      </c>
      <c r="C68" s="3">
        <v>631</v>
      </c>
      <c r="D68" s="3">
        <v>86</v>
      </c>
      <c r="E68" s="3">
        <v>295090</v>
      </c>
      <c r="F68" s="2">
        <v>7.89</v>
      </c>
      <c r="G68" s="3">
        <v>11911</v>
      </c>
      <c r="H68" s="4">
        <f t="shared" si="5"/>
        <v>295635</v>
      </c>
      <c r="I68" s="4">
        <f t="shared" si="7"/>
        <v>294189.66666666669</v>
      </c>
      <c r="J68" s="13">
        <f t="shared" si="6"/>
        <v>4.3449344345456394E-2</v>
      </c>
    </row>
    <row r="69" spans="1:10" x14ac:dyDescent="0.3">
      <c r="A69" s="5">
        <v>45593</v>
      </c>
      <c r="B69" s="1" t="s">
        <v>2</v>
      </c>
      <c r="C69" s="3">
        <v>746</v>
      </c>
      <c r="D69" s="3">
        <v>282</v>
      </c>
      <c r="E69" s="3">
        <v>293894</v>
      </c>
      <c r="F69" s="2">
        <v>5.42</v>
      </c>
      <c r="G69" s="3">
        <v>25537</v>
      </c>
      <c r="H69" s="4">
        <f t="shared" si="5"/>
        <v>294358</v>
      </c>
      <c r="I69" s="4">
        <f t="shared" si="7"/>
        <v>290817.33333333331</v>
      </c>
      <c r="J69" s="13">
        <f t="shared" si="6"/>
        <v>4.3449344345456394E-2</v>
      </c>
    </row>
    <row r="70" spans="1:10" x14ac:dyDescent="0.3">
      <c r="A70" s="5">
        <v>45579</v>
      </c>
      <c r="B70" s="1" t="s">
        <v>2</v>
      </c>
      <c r="C70" s="3">
        <v>588</v>
      </c>
      <c r="D70" s="3">
        <v>52</v>
      </c>
      <c r="E70" s="3">
        <v>292040</v>
      </c>
      <c r="F70" s="2">
        <v>8.14</v>
      </c>
      <c r="G70" s="3">
        <v>9383</v>
      </c>
      <c r="H70" s="4">
        <f t="shared" si="5"/>
        <v>292576</v>
      </c>
      <c r="I70" s="4">
        <f t="shared" si="7"/>
        <v>287443</v>
      </c>
      <c r="J70" s="13">
        <f t="shared" si="6"/>
        <v>4.3449344345456394E-2</v>
      </c>
    </row>
    <row r="71" spans="1:10" x14ac:dyDescent="0.3">
      <c r="A71" s="5">
        <v>45810</v>
      </c>
      <c r="B71" s="1" t="s">
        <v>1</v>
      </c>
      <c r="C71" s="3">
        <v>618</v>
      </c>
      <c r="D71" s="3">
        <v>264</v>
      </c>
      <c r="E71" s="3">
        <v>285164</v>
      </c>
      <c r="F71" s="2">
        <v>4.8600000000000003</v>
      </c>
      <c r="G71" s="3">
        <v>15128</v>
      </c>
      <c r="H71" s="4">
        <f t="shared" si="5"/>
        <v>285518</v>
      </c>
      <c r="I71" s="4">
        <f t="shared" si="7"/>
        <v>284537.33333333331</v>
      </c>
      <c r="J71" s="13">
        <f t="shared" si="6"/>
        <v>4.3449344345456394E-2</v>
      </c>
    </row>
    <row r="72" spans="1:10" x14ac:dyDescent="0.3">
      <c r="A72" s="5">
        <v>45824</v>
      </c>
      <c r="B72" s="1" t="s">
        <v>1</v>
      </c>
      <c r="C72" s="3">
        <v>765</v>
      </c>
      <c r="D72" s="3">
        <v>67</v>
      </c>
      <c r="E72" s="3">
        <v>283537</v>
      </c>
      <c r="F72" s="2">
        <v>6.18</v>
      </c>
      <c r="G72" s="3">
        <v>8182</v>
      </c>
      <c r="H72" s="4">
        <f t="shared" si="5"/>
        <v>284235</v>
      </c>
      <c r="I72" s="4">
        <f t="shared" si="7"/>
        <v>283478.33333333331</v>
      </c>
      <c r="J72" s="13">
        <f t="shared" si="6"/>
        <v>4.3449344345456394E-2</v>
      </c>
    </row>
    <row r="73" spans="1:10" x14ac:dyDescent="0.3">
      <c r="A73" s="5">
        <v>45775</v>
      </c>
      <c r="B73" s="1" t="s">
        <v>2</v>
      </c>
      <c r="C73" s="3">
        <v>751</v>
      </c>
      <c r="D73" s="3">
        <v>170</v>
      </c>
      <c r="E73" s="3">
        <v>283278</v>
      </c>
      <c r="F73" s="2">
        <v>3.49</v>
      </c>
      <c r="G73" s="3">
        <v>11005</v>
      </c>
      <c r="H73" s="4">
        <f t="shared" si="5"/>
        <v>283859</v>
      </c>
      <c r="I73" s="4">
        <f t="shared" si="7"/>
        <v>281975</v>
      </c>
      <c r="J73" s="13">
        <f t="shared" si="6"/>
        <v>4.3449344345456394E-2</v>
      </c>
    </row>
    <row r="74" spans="1:10" x14ac:dyDescent="0.3">
      <c r="A74" s="5">
        <v>45852</v>
      </c>
      <c r="B74" s="1" t="s">
        <v>2</v>
      </c>
      <c r="C74" s="3">
        <v>670</v>
      </c>
      <c r="D74" s="3">
        <v>242</v>
      </c>
      <c r="E74" s="3">
        <v>281913</v>
      </c>
      <c r="F74" s="2">
        <v>9.6199999999999992</v>
      </c>
      <c r="G74" s="3">
        <v>16377</v>
      </c>
      <c r="H74" s="4">
        <f t="shared" si="5"/>
        <v>282341</v>
      </c>
      <c r="I74" s="4">
        <f t="shared" si="7"/>
        <v>280108.33333333331</v>
      </c>
      <c r="J74" s="13">
        <f t="shared" si="6"/>
        <v>4.3449344345456394E-2</v>
      </c>
    </row>
    <row r="75" spans="1:10" x14ac:dyDescent="0.3">
      <c r="A75" s="5">
        <v>45831</v>
      </c>
      <c r="B75" s="1" t="s">
        <v>1</v>
      </c>
      <c r="C75" s="3">
        <v>564</v>
      </c>
      <c r="D75" s="3">
        <v>244</v>
      </c>
      <c r="E75" s="3">
        <v>279405</v>
      </c>
      <c r="F75" s="2">
        <v>8.43</v>
      </c>
      <c r="G75" s="3">
        <v>26024</v>
      </c>
      <c r="H75" s="4">
        <f t="shared" si="5"/>
        <v>279725</v>
      </c>
      <c r="I75" s="4">
        <f t="shared" si="7"/>
        <v>278536.66666666669</v>
      </c>
      <c r="J75" s="13">
        <f t="shared" si="6"/>
        <v>4.3449344345456394E-2</v>
      </c>
    </row>
    <row r="76" spans="1:10" x14ac:dyDescent="0.3">
      <c r="A76" s="5">
        <v>45775</v>
      </c>
      <c r="B76" s="1" t="s">
        <v>3</v>
      </c>
      <c r="C76" s="3">
        <v>864</v>
      </c>
      <c r="D76" s="3">
        <v>50</v>
      </c>
      <c r="E76" s="3">
        <v>277445</v>
      </c>
      <c r="F76" s="2">
        <v>3.57</v>
      </c>
      <c r="G76" s="3">
        <v>26333</v>
      </c>
      <c r="H76" s="4">
        <f t="shared" si="5"/>
        <v>278259</v>
      </c>
      <c r="I76" s="4">
        <f t="shared" si="7"/>
        <v>276976.66666666669</v>
      </c>
      <c r="J76" s="13">
        <f t="shared" si="6"/>
        <v>4.3449344345456394E-2</v>
      </c>
    </row>
    <row r="77" spans="1:10" x14ac:dyDescent="0.3">
      <c r="A77" s="5">
        <v>45516</v>
      </c>
      <c r="B77" s="1" t="s">
        <v>3</v>
      </c>
      <c r="C77" s="3">
        <v>1109</v>
      </c>
      <c r="D77" s="3">
        <v>205</v>
      </c>
      <c r="E77" s="3">
        <v>276722</v>
      </c>
      <c r="F77" s="2">
        <v>9.3800000000000008</v>
      </c>
      <c r="G77" s="3">
        <v>8274</v>
      </c>
      <c r="H77" s="4">
        <f t="shared" si="5"/>
        <v>277626</v>
      </c>
      <c r="I77" s="4">
        <f t="shared" si="7"/>
        <v>275516.33333333331</v>
      </c>
      <c r="J77" s="13">
        <f t="shared" si="6"/>
        <v>4.3449344345456394E-2</v>
      </c>
    </row>
    <row r="78" spans="1:10" x14ac:dyDescent="0.3">
      <c r="A78" s="5">
        <v>45719</v>
      </c>
      <c r="B78" s="1" t="s">
        <v>3</v>
      </c>
      <c r="C78" s="3">
        <v>665</v>
      </c>
      <c r="D78" s="3">
        <v>187</v>
      </c>
      <c r="E78" s="3">
        <v>274567</v>
      </c>
      <c r="F78" s="2">
        <v>7.39</v>
      </c>
      <c r="G78" s="3">
        <v>22428</v>
      </c>
      <c r="H78" s="4">
        <f t="shared" si="5"/>
        <v>275045</v>
      </c>
      <c r="I78" s="4">
        <f t="shared" si="7"/>
        <v>274109.66666666669</v>
      </c>
      <c r="J78" s="13">
        <f t="shared" si="6"/>
        <v>4.3449344345456394E-2</v>
      </c>
    </row>
    <row r="79" spans="1:10" x14ac:dyDescent="0.3">
      <c r="A79" s="5">
        <v>45768</v>
      </c>
      <c r="B79" s="1" t="s">
        <v>3</v>
      </c>
      <c r="C79" s="3">
        <v>1113</v>
      </c>
      <c r="D79" s="3">
        <v>224</v>
      </c>
      <c r="E79" s="3">
        <v>272989</v>
      </c>
      <c r="F79" s="2">
        <v>5.13</v>
      </c>
      <c r="G79" s="3">
        <v>24827</v>
      </c>
      <c r="H79" s="4">
        <f t="shared" si="5"/>
        <v>273878</v>
      </c>
      <c r="I79" s="4">
        <f t="shared" si="7"/>
        <v>273420</v>
      </c>
      <c r="J79" s="13">
        <f t="shared" si="6"/>
        <v>4.3449344345456394E-2</v>
      </c>
    </row>
    <row r="80" spans="1:10" x14ac:dyDescent="0.3">
      <c r="A80" s="5">
        <v>45901</v>
      </c>
      <c r="B80" s="1" t="s">
        <v>1</v>
      </c>
      <c r="C80" s="3">
        <v>1052</v>
      </c>
      <c r="D80" s="3">
        <v>180</v>
      </c>
      <c r="E80" s="3">
        <v>272534</v>
      </c>
      <c r="F80" s="2">
        <v>5.34</v>
      </c>
      <c r="G80" s="3">
        <v>13424</v>
      </c>
      <c r="H80" s="4">
        <f t="shared" si="5"/>
        <v>273406</v>
      </c>
      <c r="I80" s="4">
        <f t="shared" si="7"/>
        <v>272864</v>
      </c>
      <c r="J80" s="13">
        <f t="shared" si="6"/>
        <v>4.3449344345456394E-2</v>
      </c>
    </row>
    <row r="81" spans="1:10" x14ac:dyDescent="0.3">
      <c r="A81" s="5">
        <v>45803</v>
      </c>
      <c r="B81" s="1" t="s">
        <v>1</v>
      </c>
      <c r="C81" s="3">
        <v>1242</v>
      </c>
      <c r="D81" s="3">
        <v>201</v>
      </c>
      <c r="E81" s="3">
        <v>271935</v>
      </c>
      <c r="F81" s="2">
        <v>5.07</v>
      </c>
      <c r="G81" s="3">
        <v>15773</v>
      </c>
      <c r="H81" s="4">
        <f t="shared" si="5"/>
        <v>272976</v>
      </c>
      <c r="I81" s="4">
        <f t="shared" si="7"/>
        <v>272456.66666666669</v>
      </c>
      <c r="J81" s="13">
        <f t="shared" si="6"/>
        <v>4.3449344345456394E-2</v>
      </c>
    </row>
    <row r="82" spans="1:10" x14ac:dyDescent="0.3">
      <c r="A82" s="5">
        <v>45530</v>
      </c>
      <c r="B82" s="1" t="s">
        <v>3</v>
      </c>
      <c r="C82" s="3">
        <v>1456</v>
      </c>
      <c r="D82" s="3">
        <v>290</v>
      </c>
      <c r="E82" s="3">
        <v>271044</v>
      </c>
      <c r="F82" s="2">
        <v>7.17</v>
      </c>
      <c r="G82" s="3">
        <v>13051</v>
      </c>
      <c r="H82" s="4">
        <f t="shared" si="5"/>
        <v>272210</v>
      </c>
      <c r="I82" s="4">
        <f t="shared" si="7"/>
        <v>271581.33333333331</v>
      </c>
      <c r="J82" s="13">
        <f t="shared" si="6"/>
        <v>4.3449344345456394E-2</v>
      </c>
    </row>
    <row r="83" spans="1:10" x14ac:dyDescent="0.3">
      <c r="A83" s="5">
        <v>45677</v>
      </c>
      <c r="B83" s="1" t="s">
        <v>2</v>
      </c>
      <c r="C83" s="3">
        <v>841</v>
      </c>
      <c r="D83" s="3">
        <v>295</v>
      </c>
      <c r="E83" s="3">
        <v>271638</v>
      </c>
      <c r="F83" s="2">
        <v>9.15</v>
      </c>
      <c r="G83" s="3">
        <v>5900</v>
      </c>
      <c r="H83" s="4">
        <f t="shared" si="5"/>
        <v>272184</v>
      </c>
      <c r="I83" s="4">
        <f t="shared" si="7"/>
        <v>270193</v>
      </c>
      <c r="J83" s="13">
        <f t="shared" si="6"/>
        <v>4.3449344345456394E-2</v>
      </c>
    </row>
    <row r="84" spans="1:10" x14ac:dyDescent="0.3">
      <c r="A84" s="5">
        <v>45544</v>
      </c>
      <c r="B84" s="1" t="s">
        <v>2</v>
      </c>
      <c r="C84" s="3">
        <v>1430</v>
      </c>
      <c r="D84" s="3">
        <v>162</v>
      </c>
      <c r="E84" s="3">
        <v>269082</v>
      </c>
      <c r="F84" s="2">
        <v>3.4</v>
      </c>
      <c r="G84" s="3">
        <v>18071</v>
      </c>
      <c r="H84" s="4">
        <f t="shared" si="5"/>
        <v>270350</v>
      </c>
      <c r="I84" s="4">
        <f t="shared" si="7"/>
        <v>268369.66666666669</v>
      </c>
      <c r="J84" s="13">
        <f t="shared" si="6"/>
        <v>4.3449344345456394E-2</v>
      </c>
    </row>
    <row r="85" spans="1:10" x14ac:dyDescent="0.3">
      <c r="A85" s="5">
        <v>45873</v>
      </c>
      <c r="B85" s="1" t="s">
        <v>2</v>
      </c>
      <c r="C85" s="3">
        <v>640</v>
      </c>
      <c r="D85" s="3">
        <v>141</v>
      </c>
      <c r="E85" s="3">
        <v>267546</v>
      </c>
      <c r="F85" s="2">
        <v>8.58</v>
      </c>
      <c r="G85" s="3">
        <v>25058</v>
      </c>
      <c r="H85" s="4">
        <f t="shared" si="5"/>
        <v>268045</v>
      </c>
      <c r="I85" s="4">
        <f t="shared" si="7"/>
        <v>266818</v>
      </c>
      <c r="J85" s="13">
        <f t="shared" si="6"/>
        <v>4.3449344345456394E-2</v>
      </c>
    </row>
    <row r="86" spans="1:10" x14ac:dyDescent="0.3">
      <c r="A86" s="5">
        <v>45495</v>
      </c>
      <c r="B86" s="1" t="s">
        <v>2</v>
      </c>
      <c r="C86" s="3">
        <v>547</v>
      </c>
      <c r="D86" s="3">
        <v>183</v>
      </c>
      <c r="E86" s="3">
        <v>266350</v>
      </c>
      <c r="F86" s="2">
        <v>5.65</v>
      </c>
      <c r="G86" s="3">
        <v>15595</v>
      </c>
      <c r="H86" s="4">
        <f t="shared" si="5"/>
        <v>266714</v>
      </c>
      <c r="I86" s="4">
        <f t="shared" si="7"/>
        <v>265745.33333333331</v>
      </c>
      <c r="J86" s="13">
        <f t="shared" si="6"/>
        <v>4.3449344345456394E-2</v>
      </c>
    </row>
    <row r="87" spans="1:10" x14ac:dyDescent="0.3">
      <c r="A87" s="5">
        <v>45782</v>
      </c>
      <c r="B87" s="1" t="s">
        <v>2</v>
      </c>
      <c r="C87" s="3">
        <v>883</v>
      </c>
      <c r="D87" s="3">
        <v>207</v>
      </c>
      <c r="E87" s="3">
        <v>265019</v>
      </c>
      <c r="F87" s="2">
        <v>6.04</v>
      </c>
      <c r="G87" s="3">
        <v>15655</v>
      </c>
      <c r="H87" s="4">
        <f t="shared" si="5"/>
        <v>265695</v>
      </c>
      <c r="I87" s="4">
        <f t="shared" si="7"/>
        <v>265046</v>
      </c>
      <c r="J87" s="13">
        <f t="shared" si="6"/>
        <v>4.3449344345456394E-2</v>
      </c>
    </row>
    <row r="88" spans="1:10" x14ac:dyDescent="0.3">
      <c r="A88" s="5">
        <v>45488</v>
      </c>
      <c r="B88" s="1" t="s">
        <v>2</v>
      </c>
      <c r="C88" s="3">
        <v>1308</v>
      </c>
      <c r="D88" s="3">
        <v>210</v>
      </c>
      <c r="E88" s="3">
        <v>263729</v>
      </c>
      <c r="F88" s="2">
        <v>8.5299999999999994</v>
      </c>
      <c r="G88" s="3">
        <v>25742</v>
      </c>
      <c r="H88" s="4">
        <f t="shared" si="5"/>
        <v>264827</v>
      </c>
      <c r="I88" s="4">
        <f t="shared" si="7"/>
        <v>263543.33333333331</v>
      </c>
      <c r="J88" s="13">
        <f t="shared" si="6"/>
        <v>4.3449344345456394E-2</v>
      </c>
    </row>
    <row r="89" spans="1:10" x14ac:dyDescent="0.3">
      <c r="A89" s="5">
        <v>45733</v>
      </c>
      <c r="B89" s="1" t="s">
        <v>3</v>
      </c>
      <c r="C89" s="3">
        <v>1274</v>
      </c>
      <c r="D89" s="3">
        <v>146</v>
      </c>
      <c r="E89" s="3">
        <v>263488</v>
      </c>
      <c r="F89" s="2">
        <v>9.58</v>
      </c>
      <c r="G89" s="3">
        <v>8698</v>
      </c>
      <c r="H89" s="4">
        <f t="shared" si="5"/>
        <v>264616</v>
      </c>
      <c r="I89" s="4">
        <f t="shared" si="7"/>
        <v>261703</v>
      </c>
      <c r="J89" s="13">
        <f t="shared" si="6"/>
        <v>4.3449344345456394E-2</v>
      </c>
    </row>
    <row r="90" spans="1:10" x14ac:dyDescent="0.3">
      <c r="A90" s="5">
        <v>45775</v>
      </c>
      <c r="B90" s="1" t="s">
        <v>1</v>
      </c>
      <c r="C90" s="3">
        <v>1100</v>
      </c>
      <c r="D90" s="3">
        <v>117</v>
      </c>
      <c r="E90" s="3">
        <v>260204</v>
      </c>
      <c r="F90" s="2">
        <v>4.4000000000000004</v>
      </c>
      <c r="G90" s="3">
        <v>11908</v>
      </c>
      <c r="H90" s="4">
        <f t="shared" si="5"/>
        <v>261187</v>
      </c>
      <c r="I90" s="4">
        <f t="shared" si="7"/>
        <v>259872</v>
      </c>
      <c r="J90" s="13">
        <f t="shared" si="6"/>
        <v>4.3449344345456394E-2</v>
      </c>
    </row>
    <row r="91" spans="1:10" x14ac:dyDescent="0.3">
      <c r="A91" s="5">
        <v>45761</v>
      </c>
      <c r="B91" s="1" t="s">
        <v>3</v>
      </c>
      <c r="C91" s="3">
        <v>1472</v>
      </c>
      <c r="D91" s="3">
        <v>281</v>
      </c>
      <c r="E91" s="3">
        <v>258115</v>
      </c>
      <c r="F91" s="2">
        <v>7.23</v>
      </c>
      <c r="G91" s="3">
        <v>27393</v>
      </c>
      <c r="H91" s="4">
        <f t="shared" si="5"/>
        <v>259306</v>
      </c>
      <c r="I91" s="4">
        <f t="shared" si="7"/>
        <v>258819.33333333334</v>
      </c>
      <c r="J91" s="13">
        <f t="shared" si="6"/>
        <v>4.3449344345456394E-2</v>
      </c>
    </row>
    <row r="92" spans="1:10" x14ac:dyDescent="0.3">
      <c r="A92" s="5">
        <v>45663</v>
      </c>
      <c r="B92" s="1" t="s">
        <v>3</v>
      </c>
      <c r="C92" s="3">
        <v>953</v>
      </c>
      <c r="D92" s="3">
        <v>228</v>
      </c>
      <c r="E92" s="3">
        <v>258398</v>
      </c>
      <c r="F92" s="2">
        <v>9.0500000000000007</v>
      </c>
      <c r="G92" s="3">
        <v>13314</v>
      </c>
      <c r="H92" s="4">
        <f t="shared" si="5"/>
        <v>259123</v>
      </c>
      <c r="I92" s="4">
        <f t="shared" si="7"/>
        <v>257606.33333333334</v>
      </c>
      <c r="J92" s="13">
        <f t="shared" si="6"/>
        <v>4.3449344345456394E-2</v>
      </c>
    </row>
    <row r="93" spans="1:10" x14ac:dyDescent="0.3">
      <c r="A93" s="5">
        <v>45831</v>
      </c>
      <c r="B93" s="1" t="s">
        <v>2</v>
      </c>
      <c r="C93" s="3">
        <v>668</v>
      </c>
      <c r="D93" s="3">
        <v>124</v>
      </c>
      <c r="E93" s="3">
        <v>257485</v>
      </c>
      <c r="F93" s="2">
        <v>7.55</v>
      </c>
      <c r="G93" s="3">
        <v>26730</v>
      </c>
      <c r="H93" s="4">
        <f t="shared" si="5"/>
        <v>258029</v>
      </c>
      <c r="I93" s="4">
        <f t="shared" si="7"/>
        <v>256162</v>
      </c>
      <c r="J93" s="13">
        <f t="shared" si="6"/>
        <v>4.3449344345456394E-2</v>
      </c>
    </row>
    <row r="94" spans="1:10" x14ac:dyDescent="0.3">
      <c r="A94" s="5">
        <v>45754</v>
      </c>
      <c r="B94" s="1" t="s">
        <v>3</v>
      </c>
      <c r="C94" s="3">
        <v>1071</v>
      </c>
      <c r="D94" s="3">
        <v>131</v>
      </c>
      <c r="E94" s="3">
        <v>254727</v>
      </c>
      <c r="F94" s="2">
        <v>6.87</v>
      </c>
      <c r="G94" s="3">
        <v>22191</v>
      </c>
      <c r="H94" s="4">
        <f t="shared" si="5"/>
        <v>255667</v>
      </c>
      <c r="I94" s="4">
        <f t="shared" si="7"/>
        <v>254532.33333333334</v>
      </c>
      <c r="J94" s="13">
        <f t="shared" si="6"/>
        <v>4.3449344345456394E-2</v>
      </c>
    </row>
    <row r="95" spans="1:10" x14ac:dyDescent="0.3">
      <c r="A95" s="5">
        <v>45845</v>
      </c>
      <c r="B95" s="1" t="s">
        <v>3</v>
      </c>
      <c r="C95" s="3">
        <v>1051</v>
      </c>
      <c r="D95" s="3">
        <v>246</v>
      </c>
      <c r="E95" s="3">
        <v>253985</v>
      </c>
      <c r="F95" s="2">
        <v>9.08</v>
      </c>
      <c r="G95" s="3">
        <v>7245</v>
      </c>
      <c r="H95" s="4">
        <f t="shared" si="5"/>
        <v>254790</v>
      </c>
      <c r="I95" s="4">
        <f t="shared" si="7"/>
        <v>253220</v>
      </c>
      <c r="J95" s="13">
        <f t="shared" si="6"/>
        <v>4.3449344345456394E-2</v>
      </c>
    </row>
    <row r="96" spans="1:10" x14ac:dyDescent="0.3">
      <c r="A96" s="5">
        <v>45789</v>
      </c>
      <c r="B96" s="1" t="s">
        <v>3</v>
      </c>
      <c r="C96" s="3">
        <v>624</v>
      </c>
      <c r="D96" s="3">
        <v>247</v>
      </c>
      <c r="E96" s="3">
        <v>252763</v>
      </c>
      <c r="F96" s="2">
        <v>3.89</v>
      </c>
      <c r="G96" s="3">
        <v>19000</v>
      </c>
      <c r="H96" s="4">
        <f t="shared" si="5"/>
        <v>253140</v>
      </c>
      <c r="I96" s="4">
        <f t="shared" si="7"/>
        <v>251307.33333333334</v>
      </c>
      <c r="J96" s="13">
        <f t="shared" si="6"/>
        <v>4.3449344345456394E-2</v>
      </c>
    </row>
    <row r="97" spans="1:10" x14ac:dyDescent="0.3">
      <c r="A97" s="5">
        <v>45460</v>
      </c>
      <c r="B97" s="1" t="s">
        <v>3</v>
      </c>
      <c r="C97" s="3">
        <v>1472</v>
      </c>
      <c r="D97" s="3">
        <v>170</v>
      </c>
      <c r="E97" s="3">
        <v>250428</v>
      </c>
      <c r="F97" s="2">
        <v>4.66</v>
      </c>
      <c r="G97" s="3">
        <v>25040</v>
      </c>
      <c r="H97" s="4">
        <f t="shared" si="5"/>
        <v>251730</v>
      </c>
      <c r="I97" s="4">
        <f t="shared" si="7"/>
        <v>249859.33333333334</v>
      </c>
      <c r="J97" s="13">
        <f t="shared" si="6"/>
        <v>4.3449344345456394E-2</v>
      </c>
    </row>
    <row r="98" spans="1:10" x14ac:dyDescent="0.3">
      <c r="A98" s="5">
        <v>45551</v>
      </c>
      <c r="B98" s="1" t="s">
        <v>1</v>
      </c>
      <c r="C98" s="3">
        <v>681</v>
      </c>
      <c r="D98" s="3">
        <v>210</v>
      </c>
      <c r="E98" s="3">
        <v>248581</v>
      </c>
      <c r="F98" s="2">
        <v>8.76</v>
      </c>
      <c r="G98" s="3">
        <v>9567</v>
      </c>
      <c r="H98" s="4">
        <f t="shared" ref="H98:H129" si="8">E98+C98-D98</f>
        <v>249052</v>
      </c>
      <c r="I98" s="4">
        <f t="shared" si="7"/>
        <v>248363.66666666666</v>
      </c>
      <c r="J98" s="13">
        <f t="shared" ref="J98:J129" si="9">CORREL(H$1:H$201,G$1:G$201)</f>
        <v>4.3449344345456394E-2</v>
      </c>
    </row>
    <row r="99" spans="1:10" x14ac:dyDescent="0.3">
      <c r="A99" s="5">
        <v>45845</v>
      </c>
      <c r="B99" s="1" t="s">
        <v>1</v>
      </c>
      <c r="C99" s="3">
        <v>974</v>
      </c>
      <c r="D99" s="3">
        <v>143</v>
      </c>
      <c r="E99" s="3">
        <v>247965</v>
      </c>
      <c r="F99" s="2">
        <v>9.98</v>
      </c>
      <c r="G99" s="3">
        <v>12767</v>
      </c>
      <c r="H99" s="4">
        <f t="shared" si="8"/>
        <v>248796</v>
      </c>
      <c r="I99" s="4">
        <f t="shared" si="7"/>
        <v>247756.33333333334</v>
      </c>
      <c r="J99" s="13">
        <f t="shared" si="9"/>
        <v>4.3449344345456394E-2</v>
      </c>
    </row>
    <row r="100" spans="1:10" x14ac:dyDescent="0.3">
      <c r="A100" s="5">
        <v>45614</v>
      </c>
      <c r="B100" s="1" t="s">
        <v>1</v>
      </c>
      <c r="C100" s="3">
        <v>946</v>
      </c>
      <c r="D100" s="3">
        <v>270</v>
      </c>
      <c r="E100" s="3">
        <v>246567</v>
      </c>
      <c r="F100" s="2">
        <v>4.53</v>
      </c>
      <c r="G100" s="3">
        <v>5924</v>
      </c>
      <c r="H100" s="4">
        <f t="shared" si="8"/>
        <v>247243</v>
      </c>
      <c r="I100" s="4">
        <f t="shared" si="7"/>
        <v>245161.33333333334</v>
      </c>
      <c r="J100" s="13">
        <f t="shared" si="9"/>
        <v>4.3449344345456394E-2</v>
      </c>
    </row>
    <row r="101" spans="1:10" x14ac:dyDescent="0.3">
      <c r="A101" s="5">
        <v>45460</v>
      </c>
      <c r="B101" s="1" t="s">
        <v>2</v>
      </c>
      <c r="C101" s="3">
        <v>1414</v>
      </c>
      <c r="D101" s="3">
        <v>131</v>
      </c>
      <c r="E101" s="3">
        <v>245947</v>
      </c>
      <c r="F101" s="2">
        <v>8.3000000000000007</v>
      </c>
      <c r="G101" s="3">
        <v>14477</v>
      </c>
      <c r="H101" s="4">
        <f t="shared" si="8"/>
        <v>247230</v>
      </c>
      <c r="I101" s="4">
        <f t="shared" si="7"/>
        <v>241580.33333333334</v>
      </c>
      <c r="J101" s="13">
        <f t="shared" si="9"/>
        <v>4.3449344345456394E-2</v>
      </c>
    </row>
    <row r="102" spans="1:10" x14ac:dyDescent="0.3">
      <c r="A102" s="5">
        <v>45656</v>
      </c>
      <c r="B102" s="1" t="s">
        <v>1</v>
      </c>
      <c r="C102" s="3">
        <v>664</v>
      </c>
      <c r="D102" s="3">
        <v>251</v>
      </c>
      <c r="E102" s="3">
        <v>240598</v>
      </c>
      <c r="F102" s="2">
        <v>4.79</v>
      </c>
      <c r="G102" s="3">
        <v>10563</v>
      </c>
      <c r="H102" s="4">
        <f t="shared" si="8"/>
        <v>241011</v>
      </c>
      <c r="I102" s="4">
        <f t="shared" si="7"/>
        <v>236631.66666666666</v>
      </c>
      <c r="J102" s="13">
        <f t="shared" si="9"/>
        <v>4.3449344345456394E-2</v>
      </c>
    </row>
    <row r="103" spans="1:10" x14ac:dyDescent="0.3">
      <c r="A103" s="5">
        <v>45530</v>
      </c>
      <c r="B103" s="1" t="s">
        <v>2</v>
      </c>
      <c r="C103" s="3">
        <v>537</v>
      </c>
      <c r="D103" s="3">
        <v>275</v>
      </c>
      <c r="E103" s="3">
        <v>236238</v>
      </c>
      <c r="F103" s="2">
        <v>5.87</v>
      </c>
      <c r="G103" s="3">
        <v>26644</v>
      </c>
      <c r="H103" s="4">
        <f t="shared" si="8"/>
        <v>236500</v>
      </c>
      <c r="I103" s="4">
        <f t="shared" si="7"/>
        <v>232583.66666666666</v>
      </c>
      <c r="J103" s="13">
        <f t="shared" si="9"/>
        <v>4.3449344345456394E-2</v>
      </c>
    </row>
    <row r="104" spans="1:10" x14ac:dyDescent="0.3">
      <c r="A104" s="5">
        <v>45782</v>
      </c>
      <c r="B104" s="1" t="s">
        <v>3</v>
      </c>
      <c r="C104" s="3">
        <v>622</v>
      </c>
      <c r="D104" s="3">
        <v>163</v>
      </c>
      <c r="E104" s="3">
        <v>231925</v>
      </c>
      <c r="F104" s="2">
        <v>9.18</v>
      </c>
      <c r="G104" s="3">
        <v>13763</v>
      </c>
      <c r="H104" s="4">
        <f t="shared" si="8"/>
        <v>232384</v>
      </c>
      <c r="I104" s="4">
        <f t="shared" si="7"/>
        <v>229852.66666666666</v>
      </c>
      <c r="J104" s="13">
        <f t="shared" si="9"/>
        <v>4.3449344345456394E-2</v>
      </c>
    </row>
    <row r="105" spans="1:10" x14ac:dyDescent="0.3">
      <c r="A105" s="5">
        <v>45446</v>
      </c>
      <c r="B105" s="1" t="s">
        <v>2</v>
      </c>
      <c r="C105" s="3">
        <v>995</v>
      </c>
      <c r="D105" s="3">
        <v>86</v>
      </c>
      <c r="E105" s="3">
        <v>227958</v>
      </c>
      <c r="F105" s="2">
        <v>8.0500000000000007</v>
      </c>
      <c r="G105" s="3">
        <v>22788</v>
      </c>
      <c r="H105" s="4">
        <f t="shared" si="8"/>
        <v>228867</v>
      </c>
      <c r="I105" s="4">
        <f t="shared" si="7"/>
        <v>228330</v>
      </c>
      <c r="J105" s="13">
        <f t="shared" si="9"/>
        <v>4.3449344345456394E-2</v>
      </c>
    </row>
    <row r="106" spans="1:10" x14ac:dyDescent="0.3">
      <c r="A106" s="5">
        <v>45607</v>
      </c>
      <c r="B106" s="1" t="s">
        <v>3</v>
      </c>
      <c r="C106" s="3">
        <v>1148</v>
      </c>
      <c r="D106" s="3">
        <v>90</v>
      </c>
      <c r="E106" s="3">
        <v>227249</v>
      </c>
      <c r="F106" s="2">
        <v>7.24</v>
      </c>
      <c r="G106" s="3">
        <v>17662</v>
      </c>
      <c r="H106" s="4">
        <f t="shared" si="8"/>
        <v>228307</v>
      </c>
      <c r="I106" s="4">
        <f t="shared" si="7"/>
        <v>224982</v>
      </c>
      <c r="J106" s="13">
        <f t="shared" si="9"/>
        <v>4.3449344345456394E-2</v>
      </c>
    </row>
    <row r="107" spans="1:10" x14ac:dyDescent="0.3">
      <c r="A107" s="5">
        <v>45817</v>
      </c>
      <c r="B107" s="1" t="s">
        <v>3</v>
      </c>
      <c r="C107" s="3">
        <v>1183</v>
      </c>
      <c r="D107" s="3">
        <v>248</v>
      </c>
      <c r="E107" s="3">
        <v>226881</v>
      </c>
      <c r="F107" s="2">
        <v>5.17</v>
      </c>
      <c r="G107" s="3">
        <v>14534</v>
      </c>
      <c r="H107" s="4">
        <f t="shared" si="8"/>
        <v>227816</v>
      </c>
      <c r="I107" s="4">
        <f t="shared" si="7"/>
        <v>221208</v>
      </c>
      <c r="J107" s="13">
        <f t="shared" si="9"/>
        <v>4.3449344345456394E-2</v>
      </c>
    </row>
    <row r="108" spans="1:10" x14ac:dyDescent="0.3">
      <c r="A108" s="5">
        <v>45474</v>
      </c>
      <c r="B108" s="1" t="s">
        <v>2</v>
      </c>
      <c r="C108" s="3">
        <v>845</v>
      </c>
      <c r="D108" s="3">
        <v>250</v>
      </c>
      <c r="E108" s="3">
        <v>218228</v>
      </c>
      <c r="F108" s="2">
        <v>4.5199999999999996</v>
      </c>
      <c r="G108" s="3">
        <v>21107</v>
      </c>
      <c r="H108" s="4">
        <f t="shared" si="8"/>
        <v>218823</v>
      </c>
      <c r="I108" s="4">
        <f t="shared" si="7"/>
        <v>217031</v>
      </c>
      <c r="J108" s="13">
        <f t="shared" si="9"/>
        <v>4.3449344345456394E-2</v>
      </c>
    </row>
    <row r="109" spans="1:10" x14ac:dyDescent="0.3">
      <c r="A109" s="5">
        <v>45838</v>
      </c>
      <c r="B109" s="1" t="s">
        <v>1</v>
      </c>
      <c r="C109" s="3">
        <v>593</v>
      </c>
      <c r="D109" s="3">
        <v>108</v>
      </c>
      <c r="E109" s="3">
        <v>216500</v>
      </c>
      <c r="F109" s="2">
        <v>4.71</v>
      </c>
      <c r="G109" s="3">
        <v>27575</v>
      </c>
      <c r="H109" s="4">
        <f t="shared" si="8"/>
        <v>216985</v>
      </c>
      <c r="I109" s="4">
        <f t="shared" si="7"/>
        <v>213367.66666666666</v>
      </c>
      <c r="J109" s="13">
        <f t="shared" si="9"/>
        <v>4.3449344345456394E-2</v>
      </c>
    </row>
    <row r="110" spans="1:10" x14ac:dyDescent="0.3">
      <c r="A110" s="5">
        <v>45761</v>
      </c>
      <c r="B110" s="1" t="s">
        <v>2</v>
      </c>
      <c r="C110" s="3">
        <v>1472</v>
      </c>
      <c r="D110" s="3">
        <v>137</v>
      </c>
      <c r="E110" s="3">
        <v>213950</v>
      </c>
      <c r="F110" s="2">
        <v>6.96</v>
      </c>
      <c r="G110" s="3">
        <v>23736</v>
      </c>
      <c r="H110" s="4">
        <f t="shared" si="8"/>
        <v>215285</v>
      </c>
      <c r="I110" s="4">
        <f t="shared" si="7"/>
        <v>209343.66666666666</v>
      </c>
      <c r="J110" s="13">
        <f t="shared" si="9"/>
        <v>4.3449344345456394E-2</v>
      </c>
    </row>
    <row r="111" spans="1:10" x14ac:dyDescent="0.3">
      <c r="A111" s="5">
        <v>45488</v>
      </c>
      <c r="B111" s="1" t="s">
        <v>3</v>
      </c>
      <c r="C111" s="3">
        <v>981</v>
      </c>
      <c r="D111" s="3">
        <v>69</v>
      </c>
      <c r="E111" s="3">
        <v>206921</v>
      </c>
      <c r="F111" s="2">
        <v>8.42</v>
      </c>
      <c r="G111" s="3">
        <v>10495</v>
      </c>
      <c r="H111" s="4">
        <f t="shared" si="8"/>
        <v>207833</v>
      </c>
      <c r="I111" s="4">
        <f t="shared" si="7"/>
        <v>205449</v>
      </c>
      <c r="J111" s="13">
        <f t="shared" si="9"/>
        <v>4.3449344345456394E-2</v>
      </c>
    </row>
    <row r="112" spans="1:10" x14ac:dyDescent="0.3">
      <c r="A112" s="5">
        <v>45495</v>
      </c>
      <c r="B112" s="1" t="s">
        <v>1</v>
      </c>
      <c r="C112" s="3">
        <v>866</v>
      </c>
      <c r="D112" s="3">
        <v>74</v>
      </c>
      <c r="E112" s="3">
        <v>204121</v>
      </c>
      <c r="F112" s="2">
        <v>9.34</v>
      </c>
      <c r="G112" s="3">
        <v>7797</v>
      </c>
      <c r="H112" s="4">
        <f t="shared" si="8"/>
        <v>204913</v>
      </c>
      <c r="I112" s="4">
        <f t="shared" si="7"/>
        <v>203839.33333333334</v>
      </c>
      <c r="J112" s="13">
        <f t="shared" si="9"/>
        <v>4.3449344345456394E-2</v>
      </c>
    </row>
    <row r="113" spans="1:10" x14ac:dyDescent="0.3">
      <c r="A113" s="5">
        <v>45747</v>
      </c>
      <c r="B113" s="1" t="s">
        <v>3</v>
      </c>
      <c r="C113" s="3">
        <v>1425</v>
      </c>
      <c r="D113" s="3">
        <v>58</v>
      </c>
      <c r="E113" s="3">
        <v>202234</v>
      </c>
      <c r="F113" s="2">
        <v>6.67</v>
      </c>
      <c r="G113" s="3">
        <v>18442</v>
      </c>
      <c r="H113" s="4">
        <f t="shared" si="8"/>
        <v>203601</v>
      </c>
      <c r="I113" s="4">
        <f t="shared" si="7"/>
        <v>202864.66666666666</v>
      </c>
      <c r="J113" s="13">
        <f t="shared" si="9"/>
        <v>4.3449344345456394E-2</v>
      </c>
    </row>
    <row r="114" spans="1:10" x14ac:dyDescent="0.3">
      <c r="A114" s="5">
        <v>45607</v>
      </c>
      <c r="B114" s="1" t="s">
        <v>2</v>
      </c>
      <c r="C114" s="3">
        <v>655</v>
      </c>
      <c r="D114" s="3">
        <v>123</v>
      </c>
      <c r="E114" s="3">
        <v>202472</v>
      </c>
      <c r="F114" s="2">
        <v>7.56</v>
      </c>
      <c r="G114" s="3">
        <v>9092</v>
      </c>
      <c r="H114" s="4">
        <f t="shared" si="8"/>
        <v>203004</v>
      </c>
      <c r="I114" s="4">
        <f t="shared" si="7"/>
        <v>201446</v>
      </c>
      <c r="J114" s="13">
        <f t="shared" si="9"/>
        <v>4.3449344345456394E-2</v>
      </c>
    </row>
    <row r="115" spans="1:10" x14ac:dyDescent="0.3">
      <c r="A115" s="5">
        <v>45509</v>
      </c>
      <c r="B115" s="1" t="s">
        <v>1</v>
      </c>
      <c r="C115" s="3">
        <v>1449</v>
      </c>
      <c r="D115" s="3">
        <v>96</v>
      </c>
      <c r="E115" s="3">
        <v>200636</v>
      </c>
      <c r="F115" s="2">
        <v>9.92</v>
      </c>
      <c r="G115" s="3">
        <v>15613</v>
      </c>
      <c r="H115" s="4">
        <f t="shared" si="8"/>
        <v>201989</v>
      </c>
      <c r="I115" s="4">
        <f t="shared" si="7"/>
        <v>199890.33333333334</v>
      </c>
      <c r="J115" s="13">
        <f t="shared" si="9"/>
        <v>4.3449344345456394E-2</v>
      </c>
    </row>
    <row r="116" spans="1:10" x14ac:dyDescent="0.3">
      <c r="A116" s="5">
        <v>45705</v>
      </c>
      <c r="B116" s="1" t="s">
        <v>2</v>
      </c>
      <c r="C116" s="3">
        <v>681</v>
      </c>
      <c r="D116" s="3">
        <v>218</v>
      </c>
      <c r="E116" s="3">
        <v>198882</v>
      </c>
      <c r="F116" s="2">
        <v>7.16</v>
      </c>
      <c r="G116" s="3">
        <v>22234</v>
      </c>
      <c r="H116" s="4">
        <f t="shared" si="8"/>
        <v>199345</v>
      </c>
      <c r="I116" s="4">
        <f t="shared" si="7"/>
        <v>197893.66666666666</v>
      </c>
      <c r="J116" s="13">
        <f t="shared" si="9"/>
        <v>4.3449344345456394E-2</v>
      </c>
    </row>
    <row r="117" spans="1:10" x14ac:dyDescent="0.3">
      <c r="A117" s="5">
        <v>45621</v>
      </c>
      <c r="B117" s="1" t="s">
        <v>3</v>
      </c>
      <c r="C117" s="3">
        <v>1313</v>
      </c>
      <c r="D117" s="3">
        <v>159</v>
      </c>
      <c r="E117" s="3">
        <v>197183</v>
      </c>
      <c r="F117" s="2">
        <v>9.7100000000000009</v>
      </c>
      <c r="G117" s="3">
        <v>6625</v>
      </c>
      <c r="H117" s="4">
        <f t="shared" si="8"/>
        <v>198337</v>
      </c>
      <c r="I117" s="4">
        <f t="shared" si="7"/>
        <v>196651</v>
      </c>
      <c r="J117" s="13">
        <f t="shared" si="9"/>
        <v>4.3449344345456394E-2</v>
      </c>
    </row>
    <row r="118" spans="1:10" x14ac:dyDescent="0.3">
      <c r="A118" s="5">
        <v>45726</v>
      </c>
      <c r="B118" s="1" t="s">
        <v>2</v>
      </c>
      <c r="C118" s="3">
        <v>1159</v>
      </c>
      <c r="D118" s="3">
        <v>154</v>
      </c>
      <c r="E118" s="3">
        <v>194994</v>
      </c>
      <c r="F118" s="2">
        <v>6.39</v>
      </c>
      <c r="G118" s="3">
        <v>21900</v>
      </c>
      <c r="H118" s="4">
        <f t="shared" si="8"/>
        <v>195999</v>
      </c>
      <c r="I118" s="4">
        <f t="shared" si="7"/>
        <v>195715</v>
      </c>
      <c r="J118" s="13">
        <f t="shared" si="9"/>
        <v>4.3449344345456394E-2</v>
      </c>
    </row>
    <row r="119" spans="1:10" x14ac:dyDescent="0.3">
      <c r="A119" s="5">
        <v>45530</v>
      </c>
      <c r="B119" s="1" t="s">
        <v>1</v>
      </c>
      <c r="C119" s="3">
        <v>1154</v>
      </c>
      <c r="D119" s="3">
        <v>132</v>
      </c>
      <c r="E119" s="3">
        <v>194595</v>
      </c>
      <c r="F119" s="2">
        <v>7.54</v>
      </c>
      <c r="G119" s="3">
        <v>26624</v>
      </c>
      <c r="H119" s="4">
        <f t="shared" si="8"/>
        <v>195617</v>
      </c>
      <c r="I119" s="4">
        <f t="shared" si="7"/>
        <v>195131.33333333334</v>
      </c>
      <c r="J119" s="13">
        <f t="shared" si="9"/>
        <v>4.3449344345456394E-2</v>
      </c>
    </row>
    <row r="120" spans="1:10" x14ac:dyDescent="0.3">
      <c r="A120" s="5">
        <v>45684</v>
      </c>
      <c r="B120" s="1" t="s">
        <v>3</v>
      </c>
      <c r="C120" s="3">
        <v>819</v>
      </c>
      <c r="D120" s="3">
        <v>101</v>
      </c>
      <c r="E120" s="3">
        <v>194811</v>
      </c>
      <c r="F120" s="2">
        <v>3.35</v>
      </c>
      <c r="G120" s="3">
        <v>22244</v>
      </c>
      <c r="H120" s="4">
        <f t="shared" si="8"/>
        <v>195529</v>
      </c>
      <c r="I120" s="4">
        <f t="shared" si="7"/>
        <v>194117.66666666666</v>
      </c>
      <c r="J120" s="13">
        <f t="shared" si="9"/>
        <v>4.3449344345456394E-2</v>
      </c>
    </row>
    <row r="121" spans="1:10" x14ac:dyDescent="0.3">
      <c r="A121" s="5">
        <v>45481</v>
      </c>
      <c r="B121" s="1" t="s">
        <v>3</v>
      </c>
      <c r="C121" s="3">
        <v>1253</v>
      </c>
      <c r="D121" s="3">
        <v>136</v>
      </c>
      <c r="E121" s="3">
        <v>193131</v>
      </c>
      <c r="F121" s="2">
        <v>7.99</v>
      </c>
      <c r="G121" s="3">
        <v>15924</v>
      </c>
      <c r="H121" s="4">
        <f t="shared" si="8"/>
        <v>194248</v>
      </c>
      <c r="I121" s="4">
        <f t="shared" si="7"/>
        <v>192350</v>
      </c>
      <c r="J121" s="13">
        <f t="shared" si="9"/>
        <v>4.3449344345456394E-2</v>
      </c>
    </row>
    <row r="122" spans="1:10" x14ac:dyDescent="0.3">
      <c r="A122" s="5">
        <v>45572</v>
      </c>
      <c r="B122" s="1" t="s">
        <v>2</v>
      </c>
      <c r="C122" s="3">
        <v>678</v>
      </c>
      <c r="D122" s="3">
        <v>124</v>
      </c>
      <c r="E122" s="3">
        <v>192022</v>
      </c>
      <c r="F122" s="2">
        <v>8.4499999999999993</v>
      </c>
      <c r="G122" s="3">
        <v>17729</v>
      </c>
      <c r="H122" s="4">
        <f t="shared" si="8"/>
        <v>192576</v>
      </c>
      <c r="I122" s="4">
        <f t="shared" si="7"/>
        <v>190629</v>
      </c>
      <c r="J122" s="13">
        <f t="shared" si="9"/>
        <v>4.3449344345456394E-2</v>
      </c>
    </row>
    <row r="123" spans="1:10" x14ac:dyDescent="0.3">
      <c r="A123" s="5">
        <v>45859</v>
      </c>
      <c r="B123" s="1" t="s">
        <v>2</v>
      </c>
      <c r="C123" s="3">
        <v>754</v>
      </c>
      <c r="D123" s="3">
        <v>150</v>
      </c>
      <c r="E123" s="3">
        <v>189622</v>
      </c>
      <c r="F123" s="2">
        <v>4.25</v>
      </c>
      <c r="G123" s="3">
        <v>11911</v>
      </c>
      <c r="H123" s="4">
        <f t="shared" si="8"/>
        <v>190226</v>
      </c>
      <c r="I123" s="4">
        <f t="shared" si="7"/>
        <v>188262.33333333334</v>
      </c>
      <c r="J123" s="13">
        <f t="shared" si="9"/>
        <v>4.3449344345456394E-2</v>
      </c>
    </row>
    <row r="124" spans="1:10" x14ac:dyDescent="0.3">
      <c r="A124" s="5">
        <v>45579</v>
      </c>
      <c r="B124" s="1" t="s">
        <v>1</v>
      </c>
      <c r="C124" s="3">
        <v>1161</v>
      </c>
      <c r="D124" s="3">
        <v>269</v>
      </c>
      <c r="E124" s="3">
        <v>188193</v>
      </c>
      <c r="F124" s="2">
        <v>7.34</v>
      </c>
      <c r="G124" s="3">
        <v>18576</v>
      </c>
      <c r="H124" s="4">
        <f t="shared" si="8"/>
        <v>189085</v>
      </c>
      <c r="I124" s="4">
        <f t="shared" si="7"/>
        <v>186104.66666666666</v>
      </c>
      <c r="J124" s="13">
        <f t="shared" si="9"/>
        <v>4.3449344345456394E-2</v>
      </c>
    </row>
    <row r="125" spans="1:10" x14ac:dyDescent="0.3">
      <c r="A125" s="5">
        <v>45740</v>
      </c>
      <c r="B125" s="1" t="s">
        <v>1</v>
      </c>
      <c r="C125" s="3">
        <v>818</v>
      </c>
      <c r="D125" s="3">
        <v>253</v>
      </c>
      <c r="E125" s="3">
        <v>184911</v>
      </c>
      <c r="F125" s="2">
        <v>3.39</v>
      </c>
      <c r="G125" s="3">
        <v>10402</v>
      </c>
      <c r="H125" s="4">
        <f t="shared" si="8"/>
        <v>185476</v>
      </c>
      <c r="I125" s="4">
        <f t="shared" si="7"/>
        <v>183284.66666666666</v>
      </c>
      <c r="J125" s="13">
        <f t="shared" si="9"/>
        <v>4.3449344345456394E-2</v>
      </c>
    </row>
    <row r="126" spans="1:10" x14ac:dyDescent="0.3">
      <c r="A126" s="5">
        <v>45824</v>
      </c>
      <c r="B126" s="1" t="s">
        <v>3</v>
      </c>
      <c r="C126" s="3">
        <v>1145</v>
      </c>
      <c r="D126" s="3">
        <v>151</v>
      </c>
      <c r="E126" s="3">
        <v>182759</v>
      </c>
      <c r="F126" s="2">
        <v>5.99</v>
      </c>
      <c r="G126" s="3">
        <v>20109</v>
      </c>
      <c r="H126" s="4">
        <f t="shared" si="8"/>
        <v>183753</v>
      </c>
      <c r="I126" s="4">
        <f t="shared" si="7"/>
        <v>181235.66666666666</v>
      </c>
      <c r="J126" s="13">
        <f t="shared" si="9"/>
        <v>4.3449344345456394E-2</v>
      </c>
    </row>
    <row r="127" spans="1:10" x14ac:dyDescent="0.3">
      <c r="A127" s="5">
        <v>45565</v>
      </c>
      <c r="B127" s="1" t="s">
        <v>2</v>
      </c>
      <c r="C127" s="3">
        <v>998</v>
      </c>
      <c r="D127" s="3">
        <v>154</v>
      </c>
      <c r="E127" s="3">
        <v>179781</v>
      </c>
      <c r="F127" s="2">
        <v>9.58</v>
      </c>
      <c r="G127" s="3">
        <v>12115</v>
      </c>
      <c r="H127" s="4">
        <f t="shared" si="8"/>
        <v>180625</v>
      </c>
      <c r="I127" s="4">
        <f t="shared" si="7"/>
        <v>179351.33333333334</v>
      </c>
      <c r="J127" s="13">
        <f t="shared" si="9"/>
        <v>4.3449344345456394E-2</v>
      </c>
    </row>
    <row r="128" spans="1:10" x14ac:dyDescent="0.3">
      <c r="A128" s="5">
        <v>45474</v>
      </c>
      <c r="B128" s="1" t="s">
        <v>1</v>
      </c>
      <c r="C128" s="3">
        <v>786</v>
      </c>
      <c r="D128" s="3">
        <v>72</v>
      </c>
      <c r="E128" s="3">
        <v>178615</v>
      </c>
      <c r="F128" s="2">
        <v>5.43</v>
      </c>
      <c r="G128" s="3">
        <v>19328</v>
      </c>
      <c r="H128" s="4">
        <f t="shared" si="8"/>
        <v>179329</v>
      </c>
      <c r="I128" s="4">
        <f t="shared" si="7"/>
        <v>178488</v>
      </c>
      <c r="J128" s="13">
        <f t="shared" si="9"/>
        <v>4.3449344345456394E-2</v>
      </c>
    </row>
    <row r="129" spans="1:10" x14ac:dyDescent="0.3">
      <c r="A129" s="5">
        <v>45705</v>
      </c>
      <c r="B129" s="1" t="s">
        <v>1</v>
      </c>
      <c r="C129" s="3">
        <v>819</v>
      </c>
      <c r="D129" s="3">
        <v>95</v>
      </c>
      <c r="E129" s="3">
        <v>177376</v>
      </c>
      <c r="F129" s="2">
        <v>6.12</v>
      </c>
      <c r="G129" s="3">
        <v>14975</v>
      </c>
      <c r="H129" s="4">
        <f t="shared" si="8"/>
        <v>178100</v>
      </c>
      <c r="I129" s="4">
        <f t="shared" si="7"/>
        <v>177995.66666666666</v>
      </c>
      <c r="J129" s="13">
        <f t="shared" si="9"/>
        <v>4.3449344345456394E-2</v>
      </c>
    </row>
    <row r="130" spans="1:10" x14ac:dyDescent="0.3">
      <c r="A130" s="5">
        <v>45649</v>
      </c>
      <c r="B130" s="1" t="s">
        <v>2</v>
      </c>
      <c r="C130" s="3">
        <v>1360</v>
      </c>
      <c r="D130" s="3">
        <v>227</v>
      </c>
      <c r="E130" s="3">
        <v>176902</v>
      </c>
      <c r="F130" s="2">
        <v>6.03</v>
      </c>
      <c r="G130" s="3">
        <v>5960</v>
      </c>
      <c r="H130" s="4">
        <f t="shared" ref="H130:H161" si="10">E130+C130-D130</f>
        <v>178035</v>
      </c>
      <c r="I130" s="4">
        <f t="shared" si="7"/>
        <v>177422.33333333334</v>
      </c>
      <c r="J130" s="13">
        <f t="shared" ref="J130:J161" si="11">CORREL(H$1:H$201,G$1:G$201)</f>
        <v>4.3449344345456394E-2</v>
      </c>
    </row>
    <row r="131" spans="1:10" x14ac:dyDescent="0.3">
      <c r="A131" s="5">
        <v>45551</v>
      </c>
      <c r="B131" s="1" t="s">
        <v>3</v>
      </c>
      <c r="C131" s="3">
        <v>685</v>
      </c>
      <c r="D131" s="3">
        <v>285</v>
      </c>
      <c r="E131" s="3">
        <v>177452</v>
      </c>
      <c r="F131" s="2">
        <v>3.36</v>
      </c>
      <c r="G131" s="3">
        <v>21134</v>
      </c>
      <c r="H131" s="4">
        <f t="shared" si="10"/>
        <v>177852</v>
      </c>
      <c r="I131" s="4">
        <f t="shared" ref="I131:I194" si="12">AVERAGE(H131:H133)</f>
        <v>176393.33333333334</v>
      </c>
      <c r="J131" s="13">
        <f t="shared" si="11"/>
        <v>4.3449344345456394E-2</v>
      </c>
    </row>
    <row r="132" spans="1:10" x14ac:dyDescent="0.3">
      <c r="A132" s="5">
        <v>45670</v>
      </c>
      <c r="B132" s="1" t="s">
        <v>3</v>
      </c>
      <c r="C132" s="3">
        <v>685</v>
      </c>
      <c r="D132" s="3">
        <v>165</v>
      </c>
      <c r="E132" s="3">
        <v>175860</v>
      </c>
      <c r="F132" s="2">
        <v>6.26</v>
      </c>
      <c r="G132" s="3">
        <v>6027</v>
      </c>
      <c r="H132" s="4">
        <f t="shared" si="10"/>
        <v>176380</v>
      </c>
      <c r="I132" s="4">
        <f t="shared" si="12"/>
        <v>174705</v>
      </c>
      <c r="J132" s="13">
        <f t="shared" si="11"/>
        <v>4.3449344345456394E-2</v>
      </c>
    </row>
    <row r="133" spans="1:10" x14ac:dyDescent="0.3">
      <c r="A133" s="5">
        <v>45698</v>
      </c>
      <c r="B133" s="1" t="s">
        <v>3</v>
      </c>
      <c r="C133" s="3">
        <v>536</v>
      </c>
      <c r="D133" s="3">
        <v>198</v>
      </c>
      <c r="E133" s="3">
        <v>174610</v>
      </c>
      <c r="F133" s="2">
        <v>7.85</v>
      </c>
      <c r="G133" s="3">
        <v>20572</v>
      </c>
      <c r="H133" s="4">
        <f t="shared" si="10"/>
        <v>174948</v>
      </c>
      <c r="I133" s="4">
        <f t="shared" si="12"/>
        <v>173271.33333333334</v>
      </c>
      <c r="J133" s="13">
        <f t="shared" si="11"/>
        <v>4.3449344345456394E-2</v>
      </c>
    </row>
    <row r="134" spans="1:10" x14ac:dyDescent="0.3">
      <c r="A134" s="5">
        <v>45642</v>
      </c>
      <c r="B134" s="1" t="s">
        <v>1</v>
      </c>
      <c r="C134" s="3">
        <v>1350</v>
      </c>
      <c r="D134" s="3">
        <v>233</v>
      </c>
      <c r="E134" s="3">
        <v>171670</v>
      </c>
      <c r="F134" s="2">
        <v>4.53</v>
      </c>
      <c r="G134" s="3">
        <v>17574</v>
      </c>
      <c r="H134" s="4">
        <f t="shared" si="10"/>
        <v>172787</v>
      </c>
      <c r="I134" s="4">
        <f t="shared" si="12"/>
        <v>171945</v>
      </c>
      <c r="J134" s="13">
        <f t="shared" si="11"/>
        <v>4.3449344345456394E-2</v>
      </c>
    </row>
    <row r="135" spans="1:10" x14ac:dyDescent="0.3">
      <c r="A135" s="5">
        <v>45628</v>
      </c>
      <c r="B135" s="1" t="s">
        <v>1</v>
      </c>
      <c r="C135" s="3">
        <v>895</v>
      </c>
      <c r="D135" s="3">
        <v>87</v>
      </c>
      <c r="E135" s="3">
        <v>171271</v>
      </c>
      <c r="F135" s="2">
        <v>6.68</v>
      </c>
      <c r="G135" s="3">
        <v>23329</v>
      </c>
      <c r="H135" s="4">
        <f t="shared" si="10"/>
        <v>172079</v>
      </c>
      <c r="I135" s="4">
        <f t="shared" si="12"/>
        <v>171319</v>
      </c>
      <c r="J135" s="13">
        <f t="shared" si="11"/>
        <v>4.3449344345456394E-2</v>
      </c>
    </row>
    <row r="136" spans="1:10" x14ac:dyDescent="0.3">
      <c r="A136" s="5">
        <v>45796</v>
      </c>
      <c r="B136" s="1" t="s">
        <v>3</v>
      </c>
      <c r="C136" s="3">
        <v>1358</v>
      </c>
      <c r="D136" s="3">
        <v>77</v>
      </c>
      <c r="E136" s="3">
        <v>169688</v>
      </c>
      <c r="F136" s="2">
        <v>5.25</v>
      </c>
      <c r="G136" s="3">
        <v>7859</v>
      </c>
      <c r="H136" s="4">
        <f t="shared" si="10"/>
        <v>170969</v>
      </c>
      <c r="I136" s="4">
        <f t="shared" si="12"/>
        <v>170634</v>
      </c>
      <c r="J136" s="13">
        <f t="shared" si="11"/>
        <v>4.3449344345456394E-2</v>
      </c>
    </row>
    <row r="137" spans="1:10" x14ac:dyDescent="0.3">
      <c r="A137" s="5">
        <v>45642</v>
      </c>
      <c r="B137" s="1" t="s">
        <v>2</v>
      </c>
      <c r="C137" s="3">
        <v>632</v>
      </c>
      <c r="D137" s="3">
        <v>155</v>
      </c>
      <c r="E137" s="3">
        <v>170432</v>
      </c>
      <c r="F137" s="2">
        <v>9.17</v>
      </c>
      <c r="G137" s="3">
        <v>12840</v>
      </c>
      <c r="H137" s="4">
        <f t="shared" si="10"/>
        <v>170909</v>
      </c>
      <c r="I137" s="4">
        <f t="shared" si="12"/>
        <v>169918.33333333334</v>
      </c>
      <c r="J137" s="13">
        <f t="shared" si="11"/>
        <v>4.3449344345456394E-2</v>
      </c>
    </row>
    <row r="138" spans="1:10" x14ac:dyDescent="0.3">
      <c r="A138" s="5">
        <v>45488</v>
      </c>
      <c r="B138" s="1" t="s">
        <v>1</v>
      </c>
      <c r="C138" s="3">
        <v>616</v>
      </c>
      <c r="D138" s="3">
        <v>257</v>
      </c>
      <c r="E138" s="3">
        <v>169665</v>
      </c>
      <c r="F138" s="2">
        <v>6.31</v>
      </c>
      <c r="G138" s="3">
        <v>12390</v>
      </c>
      <c r="H138" s="4">
        <f t="shared" si="10"/>
        <v>170024</v>
      </c>
      <c r="I138" s="4">
        <f t="shared" si="12"/>
        <v>169217.33333333334</v>
      </c>
      <c r="J138" s="13">
        <f t="shared" si="11"/>
        <v>4.3449344345456394E-2</v>
      </c>
    </row>
    <row r="139" spans="1:10" x14ac:dyDescent="0.3">
      <c r="A139" s="5">
        <v>45789</v>
      </c>
      <c r="B139" s="1" t="s">
        <v>2</v>
      </c>
      <c r="C139" s="3">
        <v>544</v>
      </c>
      <c r="D139" s="3">
        <v>97</v>
      </c>
      <c r="E139" s="3">
        <v>168375</v>
      </c>
      <c r="F139" s="2">
        <v>8.66</v>
      </c>
      <c r="G139" s="3">
        <v>12774</v>
      </c>
      <c r="H139" s="4">
        <f t="shared" si="10"/>
        <v>168822</v>
      </c>
      <c r="I139" s="4">
        <f t="shared" si="12"/>
        <v>168602.33333333334</v>
      </c>
      <c r="J139" s="13">
        <f t="shared" si="11"/>
        <v>4.3449344345456394E-2</v>
      </c>
    </row>
    <row r="140" spans="1:10" x14ac:dyDescent="0.3">
      <c r="A140" s="5">
        <v>45712</v>
      </c>
      <c r="B140" s="1" t="s">
        <v>2</v>
      </c>
      <c r="C140" s="3">
        <v>886</v>
      </c>
      <c r="D140" s="3">
        <v>250</v>
      </c>
      <c r="E140" s="3">
        <v>168170</v>
      </c>
      <c r="F140" s="2">
        <v>4.12</v>
      </c>
      <c r="G140" s="3">
        <v>13883</v>
      </c>
      <c r="H140" s="4">
        <f t="shared" si="10"/>
        <v>168806</v>
      </c>
      <c r="I140" s="4">
        <f t="shared" si="12"/>
        <v>167676.33333333334</v>
      </c>
      <c r="J140" s="13">
        <f t="shared" si="11"/>
        <v>4.3449344345456394E-2</v>
      </c>
    </row>
    <row r="141" spans="1:10" x14ac:dyDescent="0.3">
      <c r="A141" s="5">
        <v>45684</v>
      </c>
      <c r="B141" s="1" t="s">
        <v>2</v>
      </c>
      <c r="C141" s="3">
        <v>1149</v>
      </c>
      <c r="D141" s="3">
        <v>280</v>
      </c>
      <c r="E141" s="3">
        <v>167310</v>
      </c>
      <c r="F141" s="2">
        <v>3.7</v>
      </c>
      <c r="G141" s="3">
        <v>5291</v>
      </c>
      <c r="H141" s="4">
        <f t="shared" si="10"/>
        <v>168179</v>
      </c>
      <c r="I141" s="4">
        <f t="shared" si="12"/>
        <v>165280.66666666666</v>
      </c>
      <c r="J141" s="13">
        <f t="shared" si="11"/>
        <v>4.3449344345456394E-2</v>
      </c>
    </row>
    <row r="142" spans="1:10" x14ac:dyDescent="0.3">
      <c r="A142" s="5">
        <v>45523</v>
      </c>
      <c r="B142" s="1" t="s">
        <v>3</v>
      </c>
      <c r="C142" s="3">
        <v>1240</v>
      </c>
      <c r="D142" s="3">
        <v>231</v>
      </c>
      <c r="E142" s="3">
        <v>165035</v>
      </c>
      <c r="F142" s="2">
        <v>6.05</v>
      </c>
      <c r="G142" s="3">
        <v>18267</v>
      </c>
      <c r="H142" s="4">
        <f t="shared" si="10"/>
        <v>166044</v>
      </c>
      <c r="I142" s="4">
        <f t="shared" si="12"/>
        <v>161847.66666666666</v>
      </c>
      <c r="J142" s="13">
        <f t="shared" si="11"/>
        <v>4.3449344345456394E-2</v>
      </c>
    </row>
    <row r="143" spans="1:10" x14ac:dyDescent="0.3">
      <c r="A143" s="5">
        <v>45621</v>
      </c>
      <c r="B143" s="1" t="s">
        <v>2</v>
      </c>
      <c r="C143" s="3">
        <v>954</v>
      </c>
      <c r="D143" s="3">
        <v>271</v>
      </c>
      <c r="E143" s="3">
        <v>160936</v>
      </c>
      <c r="F143" s="2">
        <v>8.83</v>
      </c>
      <c r="G143" s="3">
        <v>8760</v>
      </c>
      <c r="H143" s="4">
        <f t="shared" si="10"/>
        <v>161619</v>
      </c>
      <c r="I143" s="4">
        <f t="shared" si="12"/>
        <v>158903</v>
      </c>
      <c r="J143" s="13">
        <f t="shared" si="11"/>
        <v>4.3449344345456394E-2</v>
      </c>
    </row>
    <row r="144" spans="1:10" x14ac:dyDescent="0.3">
      <c r="A144" s="5">
        <v>45887</v>
      </c>
      <c r="B144" s="1" t="s">
        <v>1</v>
      </c>
      <c r="C144" s="3">
        <v>541</v>
      </c>
      <c r="D144" s="3">
        <v>208</v>
      </c>
      <c r="E144" s="3">
        <v>157547</v>
      </c>
      <c r="F144" s="2">
        <v>8.35</v>
      </c>
      <c r="G144" s="3">
        <v>20162</v>
      </c>
      <c r="H144" s="4">
        <f t="shared" si="10"/>
        <v>157880</v>
      </c>
      <c r="I144" s="4">
        <f t="shared" si="12"/>
        <v>156862.33333333334</v>
      </c>
      <c r="J144" s="13">
        <f t="shared" si="11"/>
        <v>4.3449344345456394E-2</v>
      </c>
    </row>
    <row r="145" spans="1:10" x14ac:dyDescent="0.3">
      <c r="A145" s="5">
        <v>45663</v>
      </c>
      <c r="B145" s="1" t="s">
        <v>2</v>
      </c>
      <c r="C145" s="3">
        <v>1340</v>
      </c>
      <c r="D145" s="3">
        <v>57</v>
      </c>
      <c r="E145" s="3">
        <v>155927</v>
      </c>
      <c r="F145" s="2">
        <v>7.79</v>
      </c>
      <c r="G145" s="3">
        <v>11972</v>
      </c>
      <c r="H145" s="4">
        <f t="shared" si="10"/>
        <v>157210</v>
      </c>
      <c r="I145" s="4">
        <f t="shared" si="12"/>
        <v>155131.33333333334</v>
      </c>
      <c r="J145" s="13">
        <f t="shared" si="11"/>
        <v>4.3449344345456394E-2</v>
      </c>
    </row>
    <row r="146" spans="1:10" x14ac:dyDescent="0.3">
      <c r="A146" s="5">
        <v>45831</v>
      </c>
      <c r="B146" s="1" t="s">
        <v>3</v>
      </c>
      <c r="C146" s="3">
        <v>761</v>
      </c>
      <c r="D146" s="3">
        <v>241</v>
      </c>
      <c r="E146" s="3">
        <v>154977</v>
      </c>
      <c r="F146" s="2">
        <v>5.63</v>
      </c>
      <c r="G146" s="3">
        <v>10563</v>
      </c>
      <c r="H146" s="4">
        <f t="shared" si="10"/>
        <v>155497</v>
      </c>
      <c r="I146" s="4">
        <f t="shared" si="12"/>
        <v>153607.33333333334</v>
      </c>
      <c r="J146" s="13">
        <f t="shared" si="11"/>
        <v>4.3449344345456394E-2</v>
      </c>
    </row>
    <row r="147" spans="1:10" x14ac:dyDescent="0.3">
      <c r="A147" s="5">
        <v>45572</v>
      </c>
      <c r="B147" s="1" t="s">
        <v>3</v>
      </c>
      <c r="C147" s="3">
        <v>1328</v>
      </c>
      <c r="D147" s="3">
        <v>103</v>
      </c>
      <c r="E147" s="3">
        <v>151462</v>
      </c>
      <c r="F147" s="2">
        <v>8.4</v>
      </c>
      <c r="G147" s="3">
        <v>10881</v>
      </c>
      <c r="H147" s="4">
        <f t="shared" si="10"/>
        <v>152687</v>
      </c>
      <c r="I147" s="4">
        <f t="shared" si="12"/>
        <v>152107.66666666666</v>
      </c>
      <c r="J147" s="13">
        <f t="shared" si="11"/>
        <v>4.3449344345456394E-2</v>
      </c>
    </row>
    <row r="148" spans="1:10" x14ac:dyDescent="0.3">
      <c r="A148" s="5">
        <v>45887</v>
      </c>
      <c r="B148" s="1" t="s">
        <v>3</v>
      </c>
      <c r="C148" s="3">
        <v>936</v>
      </c>
      <c r="D148" s="3">
        <v>97</v>
      </c>
      <c r="E148" s="3">
        <v>151799</v>
      </c>
      <c r="F148" s="2">
        <v>9.3699999999999992</v>
      </c>
      <c r="G148" s="3">
        <v>15461</v>
      </c>
      <c r="H148" s="4">
        <f t="shared" si="10"/>
        <v>152638</v>
      </c>
      <c r="I148" s="4">
        <f t="shared" si="12"/>
        <v>150611.66666666666</v>
      </c>
      <c r="J148" s="13">
        <f t="shared" si="11"/>
        <v>4.3449344345456394E-2</v>
      </c>
    </row>
    <row r="149" spans="1:10" x14ac:dyDescent="0.3">
      <c r="A149" s="5">
        <v>45586</v>
      </c>
      <c r="B149" s="1" t="s">
        <v>3</v>
      </c>
      <c r="C149" s="3">
        <v>1237</v>
      </c>
      <c r="D149" s="3">
        <v>155</v>
      </c>
      <c r="E149" s="3">
        <v>149916</v>
      </c>
      <c r="F149" s="2">
        <v>4.4800000000000004</v>
      </c>
      <c r="G149" s="3">
        <v>16921</v>
      </c>
      <c r="H149" s="4">
        <f t="shared" si="10"/>
        <v>150998</v>
      </c>
      <c r="I149" s="4">
        <f t="shared" si="12"/>
        <v>147989.33333333334</v>
      </c>
      <c r="J149" s="13">
        <f t="shared" si="11"/>
        <v>4.3449344345456394E-2</v>
      </c>
    </row>
    <row r="150" spans="1:10" x14ac:dyDescent="0.3">
      <c r="A150" s="5">
        <v>45593</v>
      </c>
      <c r="B150" s="1" t="s">
        <v>3</v>
      </c>
      <c r="C150" s="3">
        <v>759</v>
      </c>
      <c r="D150" s="3">
        <v>216</v>
      </c>
      <c r="E150" s="3">
        <v>147656</v>
      </c>
      <c r="F150" s="2">
        <v>4.08</v>
      </c>
      <c r="G150" s="3">
        <v>24943</v>
      </c>
      <c r="H150" s="4">
        <f t="shared" si="10"/>
        <v>148199</v>
      </c>
      <c r="I150" s="4">
        <f t="shared" si="12"/>
        <v>145845.66666666666</v>
      </c>
      <c r="J150" s="13">
        <f t="shared" si="11"/>
        <v>4.3449344345456394E-2</v>
      </c>
    </row>
    <row r="151" spans="1:10" x14ac:dyDescent="0.3">
      <c r="A151" s="5">
        <v>45894</v>
      </c>
      <c r="B151" s="1" t="s">
        <v>1</v>
      </c>
      <c r="C151" s="3">
        <v>1183</v>
      </c>
      <c r="D151" s="3">
        <v>223</v>
      </c>
      <c r="E151" s="3">
        <v>143811</v>
      </c>
      <c r="F151" s="2">
        <v>6.07</v>
      </c>
      <c r="G151" s="3">
        <v>22103</v>
      </c>
      <c r="H151" s="4">
        <f t="shared" si="10"/>
        <v>144771</v>
      </c>
      <c r="I151" s="4">
        <f t="shared" si="12"/>
        <v>143753.66666666666</v>
      </c>
      <c r="J151" s="13">
        <f t="shared" si="11"/>
        <v>4.3449344345456394E-2</v>
      </c>
    </row>
    <row r="152" spans="1:10" x14ac:dyDescent="0.3">
      <c r="A152" s="5">
        <v>45894</v>
      </c>
      <c r="B152" s="1" t="s">
        <v>3</v>
      </c>
      <c r="C152" s="3">
        <v>791</v>
      </c>
      <c r="D152" s="3">
        <v>273</v>
      </c>
      <c r="E152" s="3">
        <v>144049</v>
      </c>
      <c r="F152" s="2">
        <v>3.08</v>
      </c>
      <c r="G152" s="3">
        <v>5281</v>
      </c>
      <c r="H152" s="4">
        <f t="shared" si="10"/>
        <v>144567</v>
      </c>
      <c r="I152" s="4">
        <f t="shared" si="12"/>
        <v>142629.66666666666</v>
      </c>
      <c r="J152" s="13">
        <f t="shared" si="11"/>
        <v>4.3449344345456394E-2</v>
      </c>
    </row>
    <row r="153" spans="1:10" x14ac:dyDescent="0.3">
      <c r="A153" s="5">
        <v>45586</v>
      </c>
      <c r="B153" s="1" t="s">
        <v>2</v>
      </c>
      <c r="C153" s="3">
        <v>886</v>
      </c>
      <c r="D153" s="3">
        <v>124</v>
      </c>
      <c r="E153" s="3">
        <v>141161</v>
      </c>
      <c r="F153" s="2">
        <v>8.19</v>
      </c>
      <c r="G153" s="3">
        <v>14215</v>
      </c>
      <c r="H153" s="4">
        <f t="shared" si="10"/>
        <v>141923</v>
      </c>
      <c r="I153" s="4">
        <f t="shared" si="12"/>
        <v>141010.33333333334</v>
      </c>
      <c r="J153" s="13">
        <f t="shared" si="11"/>
        <v>4.3449344345456394E-2</v>
      </c>
    </row>
    <row r="154" spans="1:10" x14ac:dyDescent="0.3">
      <c r="A154" s="5">
        <v>45642</v>
      </c>
      <c r="B154" s="1" t="s">
        <v>3</v>
      </c>
      <c r="C154" s="3">
        <v>1182</v>
      </c>
      <c r="D154" s="3">
        <v>83</v>
      </c>
      <c r="E154" s="3">
        <v>140300</v>
      </c>
      <c r="F154" s="2">
        <v>3.27</v>
      </c>
      <c r="G154" s="3">
        <v>21079</v>
      </c>
      <c r="H154" s="4">
        <f t="shared" si="10"/>
        <v>141399</v>
      </c>
      <c r="I154" s="4">
        <f t="shared" si="12"/>
        <v>140021.66666666666</v>
      </c>
      <c r="J154" s="13">
        <f t="shared" si="11"/>
        <v>4.3449344345456394E-2</v>
      </c>
    </row>
    <row r="155" spans="1:10" x14ac:dyDescent="0.3">
      <c r="A155" s="5">
        <v>45663</v>
      </c>
      <c r="B155" s="1" t="s">
        <v>1</v>
      </c>
      <c r="C155" s="3">
        <v>613</v>
      </c>
      <c r="D155" s="3">
        <v>170</v>
      </c>
      <c r="E155" s="3">
        <v>139266</v>
      </c>
      <c r="F155" s="2">
        <v>6.06</v>
      </c>
      <c r="G155" s="3">
        <v>9247</v>
      </c>
      <c r="H155" s="4">
        <f t="shared" si="10"/>
        <v>139709</v>
      </c>
      <c r="I155" s="4">
        <f t="shared" si="12"/>
        <v>137423.66666666666</v>
      </c>
      <c r="J155" s="13">
        <f t="shared" si="11"/>
        <v>4.3449344345456394E-2</v>
      </c>
    </row>
    <row r="156" spans="1:10" x14ac:dyDescent="0.3">
      <c r="A156" s="5">
        <v>45747</v>
      </c>
      <c r="B156" s="1" t="s">
        <v>1</v>
      </c>
      <c r="C156" s="3">
        <v>591</v>
      </c>
      <c r="D156" s="3">
        <v>155</v>
      </c>
      <c r="E156" s="3">
        <v>138521</v>
      </c>
      <c r="F156" s="2">
        <v>7.85</v>
      </c>
      <c r="G156" s="3">
        <v>19054</v>
      </c>
      <c r="H156" s="4">
        <f t="shared" si="10"/>
        <v>138957</v>
      </c>
      <c r="I156" s="4">
        <f t="shared" si="12"/>
        <v>135300</v>
      </c>
      <c r="J156" s="13">
        <f t="shared" si="11"/>
        <v>4.3449344345456394E-2</v>
      </c>
    </row>
    <row r="157" spans="1:10" x14ac:dyDescent="0.3">
      <c r="A157" s="5">
        <v>45873</v>
      </c>
      <c r="B157" s="1" t="s">
        <v>3</v>
      </c>
      <c r="C157" s="3">
        <v>616</v>
      </c>
      <c r="D157" s="3">
        <v>93</v>
      </c>
      <c r="E157" s="3">
        <v>133082</v>
      </c>
      <c r="F157" s="2">
        <v>8.51</v>
      </c>
      <c r="G157" s="3">
        <v>18303</v>
      </c>
      <c r="H157" s="4">
        <f t="shared" si="10"/>
        <v>133605</v>
      </c>
      <c r="I157" s="4">
        <f t="shared" si="12"/>
        <v>132619</v>
      </c>
      <c r="J157" s="13">
        <f t="shared" si="11"/>
        <v>4.3449344345456394E-2</v>
      </c>
    </row>
    <row r="158" spans="1:10" x14ac:dyDescent="0.3">
      <c r="A158" s="5">
        <v>45509</v>
      </c>
      <c r="B158" s="1" t="s">
        <v>2</v>
      </c>
      <c r="C158" s="3">
        <v>752</v>
      </c>
      <c r="D158" s="3">
        <v>170</v>
      </c>
      <c r="E158" s="3">
        <v>132756</v>
      </c>
      <c r="F158" s="2">
        <v>8.17</v>
      </c>
      <c r="G158" s="3">
        <v>23900</v>
      </c>
      <c r="H158" s="4">
        <f t="shared" si="10"/>
        <v>133338</v>
      </c>
      <c r="I158" s="4">
        <f t="shared" si="12"/>
        <v>131331</v>
      </c>
      <c r="J158" s="13">
        <f t="shared" si="11"/>
        <v>4.3449344345456394E-2</v>
      </c>
    </row>
    <row r="159" spans="1:10" x14ac:dyDescent="0.3">
      <c r="A159" s="5">
        <v>45852</v>
      </c>
      <c r="B159" s="1" t="s">
        <v>1</v>
      </c>
      <c r="C159" s="3">
        <v>1457</v>
      </c>
      <c r="D159" s="3">
        <v>183</v>
      </c>
      <c r="E159" s="3">
        <v>129640</v>
      </c>
      <c r="F159" s="2">
        <v>7.98</v>
      </c>
      <c r="G159" s="3">
        <v>12985</v>
      </c>
      <c r="H159" s="4">
        <f t="shared" si="10"/>
        <v>130914</v>
      </c>
      <c r="I159" s="4">
        <f t="shared" si="12"/>
        <v>129721</v>
      </c>
      <c r="J159" s="13">
        <f t="shared" si="11"/>
        <v>4.3449344345456394E-2</v>
      </c>
    </row>
    <row r="160" spans="1:10" x14ac:dyDescent="0.3">
      <c r="A160" s="5">
        <v>45467</v>
      </c>
      <c r="B160" s="1" t="s">
        <v>2</v>
      </c>
      <c r="C160" s="3">
        <v>1371</v>
      </c>
      <c r="D160" s="3">
        <v>250</v>
      </c>
      <c r="E160" s="3">
        <v>128620</v>
      </c>
      <c r="F160" s="2">
        <v>7.11</v>
      </c>
      <c r="G160" s="3">
        <v>12399</v>
      </c>
      <c r="H160" s="4">
        <f t="shared" si="10"/>
        <v>129741</v>
      </c>
      <c r="I160" s="4">
        <f t="shared" si="12"/>
        <v>128824.33333333333</v>
      </c>
      <c r="J160" s="13">
        <f t="shared" si="11"/>
        <v>4.3449344345456394E-2</v>
      </c>
    </row>
    <row r="161" spans="1:10" x14ac:dyDescent="0.3">
      <c r="A161" s="5">
        <v>45719</v>
      </c>
      <c r="B161" s="1" t="s">
        <v>2</v>
      </c>
      <c r="C161" s="3">
        <v>1234</v>
      </c>
      <c r="D161" s="3">
        <v>228</v>
      </c>
      <c r="E161" s="3">
        <v>127502</v>
      </c>
      <c r="F161" s="2">
        <v>7.71</v>
      </c>
      <c r="G161" s="3">
        <v>6772</v>
      </c>
      <c r="H161" s="4">
        <f t="shared" si="10"/>
        <v>128508</v>
      </c>
      <c r="I161" s="4">
        <f t="shared" si="12"/>
        <v>127815.66666666667</v>
      </c>
      <c r="J161" s="13">
        <f t="shared" si="11"/>
        <v>4.3449344345456394E-2</v>
      </c>
    </row>
    <row r="162" spans="1:10" x14ac:dyDescent="0.3">
      <c r="A162" s="5">
        <v>45859</v>
      </c>
      <c r="B162" s="1" t="s">
        <v>1</v>
      </c>
      <c r="C162" s="3">
        <v>1197</v>
      </c>
      <c r="D162" s="3">
        <v>246</v>
      </c>
      <c r="E162" s="3">
        <v>127273</v>
      </c>
      <c r="F162" s="2">
        <v>6.69</v>
      </c>
      <c r="G162" s="3">
        <v>12323</v>
      </c>
      <c r="H162" s="4">
        <f t="shared" ref="H162:H193" si="13">E162+C162-D162</f>
        <v>128224</v>
      </c>
      <c r="I162" s="4">
        <f t="shared" si="12"/>
        <v>126945</v>
      </c>
      <c r="J162" s="13">
        <f t="shared" ref="J162:J193" si="14">CORREL(H$1:H$201,G$1:G$201)</f>
        <v>4.3449344345456394E-2</v>
      </c>
    </row>
    <row r="163" spans="1:10" x14ac:dyDescent="0.3">
      <c r="A163" s="5">
        <v>45467</v>
      </c>
      <c r="B163" s="1" t="s">
        <v>3</v>
      </c>
      <c r="C163" s="3">
        <v>844</v>
      </c>
      <c r="D163" s="3">
        <v>144</v>
      </c>
      <c r="E163" s="3">
        <v>126015</v>
      </c>
      <c r="F163" s="2">
        <v>9.65</v>
      </c>
      <c r="G163" s="3">
        <v>22456</v>
      </c>
      <c r="H163" s="4">
        <f t="shared" si="13"/>
        <v>126715</v>
      </c>
      <c r="I163" s="4">
        <f t="shared" si="12"/>
        <v>125973.66666666667</v>
      </c>
      <c r="J163" s="13">
        <f t="shared" si="14"/>
        <v>4.3449344345456394E-2</v>
      </c>
    </row>
    <row r="164" spans="1:10" x14ac:dyDescent="0.3">
      <c r="A164" s="5">
        <v>45446</v>
      </c>
      <c r="B164" s="1" t="s">
        <v>1</v>
      </c>
      <c r="C164" s="3">
        <v>1402</v>
      </c>
      <c r="D164" s="3">
        <v>68</v>
      </c>
      <c r="E164" s="3">
        <v>124562</v>
      </c>
      <c r="F164" s="2">
        <v>9.92</v>
      </c>
      <c r="G164" s="3">
        <v>23125</v>
      </c>
      <c r="H164" s="4">
        <f t="shared" si="13"/>
        <v>125896</v>
      </c>
      <c r="I164" s="4">
        <f t="shared" si="12"/>
        <v>125005</v>
      </c>
      <c r="J164" s="13">
        <f t="shared" si="14"/>
        <v>4.3449344345456394E-2</v>
      </c>
    </row>
    <row r="165" spans="1:10" x14ac:dyDescent="0.3">
      <c r="A165" s="5">
        <v>45740</v>
      </c>
      <c r="B165" s="1" t="s">
        <v>2</v>
      </c>
      <c r="C165" s="3">
        <v>975</v>
      </c>
      <c r="D165" s="3">
        <v>162</v>
      </c>
      <c r="E165" s="3">
        <v>124497</v>
      </c>
      <c r="F165" s="2">
        <v>9.58</v>
      </c>
      <c r="G165" s="3">
        <v>26618</v>
      </c>
      <c r="H165" s="4">
        <f t="shared" si="13"/>
        <v>125310</v>
      </c>
      <c r="I165" s="4">
        <f t="shared" si="12"/>
        <v>124277.66666666667</v>
      </c>
      <c r="J165" s="13">
        <f t="shared" si="14"/>
        <v>4.3449344345456394E-2</v>
      </c>
    </row>
    <row r="166" spans="1:10" x14ac:dyDescent="0.3">
      <c r="A166" s="5">
        <v>45656</v>
      </c>
      <c r="B166" s="1" t="s">
        <v>3</v>
      </c>
      <c r="C166" s="3">
        <v>601</v>
      </c>
      <c r="D166" s="3">
        <v>64</v>
      </c>
      <c r="E166" s="3">
        <v>123272</v>
      </c>
      <c r="F166" s="2">
        <v>4.07</v>
      </c>
      <c r="G166" s="3">
        <v>14273</v>
      </c>
      <c r="H166" s="4">
        <f t="shared" si="13"/>
        <v>123809</v>
      </c>
      <c r="I166" s="4">
        <f t="shared" si="12"/>
        <v>123173.66666666667</v>
      </c>
      <c r="J166" s="13">
        <f t="shared" si="14"/>
        <v>4.3449344345456394E-2</v>
      </c>
    </row>
    <row r="167" spans="1:10" x14ac:dyDescent="0.3">
      <c r="A167" s="5">
        <v>45600</v>
      </c>
      <c r="B167" s="1" t="s">
        <v>3</v>
      </c>
      <c r="C167" s="3">
        <v>1208</v>
      </c>
      <c r="D167" s="3">
        <v>224</v>
      </c>
      <c r="E167" s="3">
        <v>122730</v>
      </c>
      <c r="F167" s="2">
        <v>8.7200000000000006</v>
      </c>
      <c r="G167" s="3">
        <v>10858</v>
      </c>
      <c r="H167" s="4">
        <f t="shared" si="13"/>
        <v>123714</v>
      </c>
      <c r="I167" s="4">
        <f t="shared" si="12"/>
        <v>121716</v>
      </c>
      <c r="J167" s="13">
        <f t="shared" si="14"/>
        <v>4.3449344345456394E-2</v>
      </c>
    </row>
    <row r="168" spans="1:10" x14ac:dyDescent="0.3">
      <c r="A168" s="5">
        <v>45866</v>
      </c>
      <c r="B168" s="1" t="s">
        <v>1</v>
      </c>
      <c r="C168" s="3">
        <v>780</v>
      </c>
      <c r="D168" s="3">
        <v>213</v>
      </c>
      <c r="E168" s="3">
        <v>121431</v>
      </c>
      <c r="F168" s="2">
        <v>4.97</v>
      </c>
      <c r="G168" s="3">
        <v>21464</v>
      </c>
      <c r="H168" s="4">
        <f t="shared" si="13"/>
        <v>121998</v>
      </c>
      <c r="I168" s="4">
        <f t="shared" si="12"/>
        <v>120253</v>
      </c>
      <c r="J168" s="13">
        <f t="shared" si="14"/>
        <v>4.3449344345456394E-2</v>
      </c>
    </row>
    <row r="169" spans="1:10" x14ac:dyDescent="0.3">
      <c r="A169" s="5">
        <v>45635</v>
      </c>
      <c r="B169" s="1" t="s">
        <v>3</v>
      </c>
      <c r="C169" s="3">
        <v>630</v>
      </c>
      <c r="D169" s="3">
        <v>248</v>
      </c>
      <c r="E169" s="3">
        <v>119054</v>
      </c>
      <c r="F169" s="2">
        <v>5.0199999999999996</v>
      </c>
      <c r="G169" s="3">
        <v>18867</v>
      </c>
      <c r="H169" s="4">
        <f t="shared" si="13"/>
        <v>119436</v>
      </c>
      <c r="I169" s="4">
        <f t="shared" si="12"/>
        <v>118928.33333333333</v>
      </c>
      <c r="J169" s="13">
        <f t="shared" si="14"/>
        <v>4.3449344345456394E-2</v>
      </c>
    </row>
    <row r="170" spans="1:10" x14ac:dyDescent="0.3">
      <c r="A170" s="5">
        <v>45796</v>
      </c>
      <c r="B170" s="1" t="s">
        <v>1</v>
      </c>
      <c r="C170" s="3">
        <v>1073</v>
      </c>
      <c r="D170" s="3">
        <v>141</v>
      </c>
      <c r="E170" s="3">
        <v>118393</v>
      </c>
      <c r="F170" s="2">
        <v>7.95</v>
      </c>
      <c r="G170" s="3">
        <v>14051</v>
      </c>
      <c r="H170" s="4">
        <f t="shared" si="13"/>
        <v>119325</v>
      </c>
      <c r="I170" s="4">
        <f t="shared" si="12"/>
        <v>118369</v>
      </c>
      <c r="J170" s="13">
        <f t="shared" si="14"/>
        <v>4.3449344345456394E-2</v>
      </c>
    </row>
    <row r="171" spans="1:10" x14ac:dyDescent="0.3">
      <c r="A171" s="5">
        <v>45866</v>
      </c>
      <c r="B171" s="1" t="s">
        <v>2</v>
      </c>
      <c r="C171" s="3">
        <v>1425</v>
      </c>
      <c r="D171" s="3">
        <v>143</v>
      </c>
      <c r="E171" s="3">
        <v>116742</v>
      </c>
      <c r="F171" s="2">
        <v>3.71</v>
      </c>
      <c r="G171" s="3">
        <v>27126</v>
      </c>
      <c r="H171" s="4">
        <f t="shared" si="13"/>
        <v>118024</v>
      </c>
      <c r="I171" s="4">
        <f t="shared" si="12"/>
        <v>117832.33333333333</v>
      </c>
      <c r="J171" s="13">
        <f t="shared" si="14"/>
        <v>4.3449344345456394E-2</v>
      </c>
    </row>
    <row r="172" spans="1:10" x14ac:dyDescent="0.3">
      <c r="A172" s="5">
        <v>45810</v>
      </c>
      <c r="B172" s="1" t="s">
        <v>2</v>
      </c>
      <c r="C172" s="3">
        <v>1419</v>
      </c>
      <c r="D172" s="3">
        <v>293</v>
      </c>
      <c r="E172" s="3">
        <v>116632</v>
      </c>
      <c r="F172" s="2">
        <v>6.93</v>
      </c>
      <c r="G172" s="3">
        <v>11826</v>
      </c>
      <c r="H172" s="4">
        <f t="shared" si="13"/>
        <v>117758</v>
      </c>
      <c r="I172" s="4">
        <f t="shared" si="12"/>
        <v>117549</v>
      </c>
      <c r="J172" s="13">
        <f t="shared" si="14"/>
        <v>4.3449344345456394E-2</v>
      </c>
    </row>
    <row r="173" spans="1:10" x14ac:dyDescent="0.3">
      <c r="A173" s="5">
        <v>45719</v>
      </c>
      <c r="B173" s="1" t="s">
        <v>1</v>
      </c>
      <c r="C173" s="3">
        <v>1444</v>
      </c>
      <c r="D173" s="3">
        <v>165</v>
      </c>
      <c r="E173" s="3">
        <v>116436</v>
      </c>
      <c r="F173" s="2">
        <v>8.2200000000000006</v>
      </c>
      <c r="G173" s="3">
        <v>25234</v>
      </c>
      <c r="H173" s="4">
        <f t="shared" si="13"/>
        <v>117715</v>
      </c>
      <c r="I173" s="4">
        <f t="shared" si="12"/>
        <v>117331.33333333333</v>
      </c>
      <c r="J173" s="13">
        <f t="shared" si="14"/>
        <v>4.3449344345456394E-2</v>
      </c>
    </row>
    <row r="174" spans="1:10" x14ac:dyDescent="0.3">
      <c r="A174" s="5">
        <v>45880</v>
      </c>
      <c r="B174" s="1" t="s">
        <v>2</v>
      </c>
      <c r="C174" s="3">
        <v>938</v>
      </c>
      <c r="D174" s="3">
        <v>236</v>
      </c>
      <c r="E174" s="3">
        <v>116472</v>
      </c>
      <c r="F174" s="2">
        <v>8.7200000000000006</v>
      </c>
      <c r="G174" s="3">
        <v>17460</v>
      </c>
      <c r="H174" s="4">
        <f t="shared" si="13"/>
        <v>117174</v>
      </c>
      <c r="I174" s="4">
        <f t="shared" si="12"/>
        <v>116991.66666666667</v>
      </c>
      <c r="J174" s="13">
        <f t="shared" si="14"/>
        <v>4.3449344345456394E-2</v>
      </c>
    </row>
    <row r="175" spans="1:10" x14ac:dyDescent="0.3">
      <c r="A175" s="5">
        <v>45649</v>
      </c>
      <c r="B175" s="1" t="s">
        <v>1</v>
      </c>
      <c r="C175" s="3">
        <v>661</v>
      </c>
      <c r="D175" s="3">
        <v>94</v>
      </c>
      <c r="E175" s="3">
        <v>116538</v>
      </c>
      <c r="F175" s="2">
        <v>5.31</v>
      </c>
      <c r="G175" s="3">
        <v>23486</v>
      </c>
      <c r="H175" s="4">
        <f t="shared" si="13"/>
        <v>117105</v>
      </c>
      <c r="I175" s="4">
        <f t="shared" si="12"/>
        <v>116688</v>
      </c>
      <c r="J175" s="13">
        <f t="shared" si="14"/>
        <v>4.3449344345456394E-2</v>
      </c>
    </row>
    <row r="176" spans="1:10" x14ac:dyDescent="0.3">
      <c r="A176" s="5">
        <v>45516</v>
      </c>
      <c r="B176" s="1" t="s">
        <v>2</v>
      </c>
      <c r="C176" s="3">
        <v>1456</v>
      </c>
      <c r="D176" s="3">
        <v>265</v>
      </c>
      <c r="E176" s="3">
        <v>115505</v>
      </c>
      <c r="F176" s="2">
        <v>7.49</v>
      </c>
      <c r="G176" s="3">
        <v>10311</v>
      </c>
      <c r="H176" s="4">
        <f t="shared" si="13"/>
        <v>116696</v>
      </c>
      <c r="I176" s="4">
        <f t="shared" si="12"/>
        <v>116091.33333333333</v>
      </c>
      <c r="J176" s="13">
        <f t="shared" si="14"/>
        <v>4.3449344345456394E-2</v>
      </c>
    </row>
    <row r="177" spans="1:10" x14ac:dyDescent="0.3">
      <c r="A177" s="5">
        <v>45810</v>
      </c>
      <c r="B177" s="1" t="s">
        <v>3</v>
      </c>
      <c r="C177" s="3">
        <v>637</v>
      </c>
      <c r="D177" s="3">
        <v>68</v>
      </c>
      <c r="E177" s="3">
        <v>115694</v>
      </c>
      <c r="F177" s="2">
        <v>9.99</v>
      </c>
      <c r="G177" s="3">
        <v>12562</v>
      </c>
      <c r="H177" s="4">
        <f t="shared" si="13"/>
        <v>116263</v>
      </c>
      <c r="I177" s="4">
        <f t="shared" si="12"/>
        <v>115246.33333333333</v>
      </c>
      <c r="J177" s="13">
        <f t="shared" si="14"/>
        <v>4.3449344345456394E-2</v>
      </c>
    </row>
    <row r="178" spans="1:10" x14ac:dyDescent="0.3">
      <c r="A178" s="5">
        <v>45614</v>
      </c>
      <c r="B178" s="1" t="s">
        <v>2</v>
      </c>
      <c r="C178" s="3">
        <v>791</v>
      </c>
      <c r="D178" s="3">
        <v>214</v>
      </c>
      <c r="E178" s="3">
        <v>114738</v>
      </c>
      <c r="F178" s="2">
        <v>6.62</v>
      </c>
      <c r="G178" s="3">
        <v>25347</v>
      </c>
      <c r="H178" s="4">
        <f t="shared" si="13"/>
        <v>115315</v>
      </c>
      <c r="I178" s="4">
        <f t="shared" si="12"/>
        <v>113880</v>
      </c>
      <c r="J178" s="13">
        <f t="shared" si="14"/>
        <v>4.3449344345456394E-2</v>
      </c>
    </row>
    <row r="179" spans="1:10" x14ac:dyDescent="0.3">
      <c r="A179" s="5">
        <v>45880</v>
      </c>
      <c r="B179" s="1" t="s">
        <v>3</v>
      </c>
      <c r="C179" s="3">
        <v>1007</v>
      </c>
      <c r="D179" s="3">
        <v>258</v>
      </c>
      <c r="E179" s="3">
        <v>113412</v>
      </c>
      <c r="F179" s="2">
        <v>7.71</v>
      </c>
      <c r="G179" s="3">
        <v>14475</v>
      </c>
      <c r="H179" s="4">
        <f t="shared" si="13"/>
        <v>114161</v>
      </c>
      <c r="I179" s="4">
        <f t="shared" si="12"/>
        <v>111673.66666666667</v>
      </c>
      <c r="J179" s="13">
        <f t="shared" si="14"/>
        <v>4.3449344345456394E-2</v>
      </c>
    </row>
    <row r="180" spans="1:10" x14ac:dyDescent="0.3">
      <c r="A180" s="5">
        <v>45628</v>
      </c>
      <c r="B180" s="1" t="s">
        <v>2</v>
      </c>
      <c r="C180" s="3">
        <v>1027</v>
      </c>
      <c r="D180" s="3">
        <v>156</v>
      </c>
      <c r="E180" s="3">
        <v>111293</v>
      </c>
      <c r="F180" s="2">
        <v>5.51</v>
      </c>
      <c r="G180" s="3">
        <v>7299</v>
      </c>
      <c r="H180" s="4">
        <f t="shared" si="13"/>
        <v>112164</v>
      </c>
      <c r="I180" s="4">
        <f t="shared" si="12"/>
        <v>108962.33333333333</v>
      </c>
      <c r="J180" s="13">
        <f t="shared" si="14"/>
        <v>4.3449344345456394E-2</v>
      </c>
    </row>
    <row r="181" spans="1:10" x14ac:dyDescent="0.3">
      <c r="A181" s="5">
        <v>45747</v>
      </c>
      <c r="B181" s="1" t="s">
        <v>2</v>
      </c>
      <c r="C181" s="3">
        <v>1232</v>
      </c>
      <c r="D181" s="3">
        <v>254</v>
      </c>
      <c r="E181" s="3">
        <v>107718</v>
      </c>
      <c r="F181" s="2">
        <v>9.7100000000000009</v>
      </c>
      <c r="G181" s="3">
        <v>13740</v>
      </c>
      <c r="H181" s="4">
        <f t="shared" si="13"/>
        <v>108696</v>
      </c>
      <c r="I181" s="4">
        <f t="shared" si="12"/>
        <v>106019.66666666667</v>
      </c>
      <c r="J181" s="13">
        <f t="shared" si="14"/>
        <v>4.3449344345456394E-2</v>
      </c>
    </row>
    <row r="182" spans="1:10" x14ac:dyDescent="0.3">
      <c r="A182" s="5">
        <v>45635</v>
      </c>
      <c r="B182" s="1" t="s">
        <v>2</v>
      </c>
      <c r="C182" s="3">
        <v>599</v>
      </c>
      <c r="D182" s="3">
        <v>194</v>
      </c>
      <c r="E182" s="3">
        <v>105622</v>
      </c>
      <c r="F182" s="2">
        <v>6.44</v>
      </c>
      <c r="G182" s="3">
        <v>15108</v>
      </c>
      <c r="H182" s="4">
        <f t="shared" si="13"/>
        <v>106027</v>
      </c>
      <c r="I182" s="4">
        <f t="shared" si="12"/>
        <v>101946</v>
      </c>
      <c r="J182" s="13">
        <f t="shared" si="14"/>
        <v>4.3449344345456394E-2</v>
      </c>
    </row>
    <row r="183" spans="1:10" x14ac:dyDescent="0.3">
      <c r="A183" s="5">
        <v>45838</v>
      </c>
      <c r="B183" s="1" t="s">
        <v>2</v>
      </c>
      <c r="C183" s="3">
        <v>1349</v>
      </c>
      <c r="D183" s="3">
        <v>115</v>
      </c>
      <c r="E183" s="3">
        <v>102102</v>
      </c>
      <c r="F183" s="2">
        <v>5.28</v>
      </c>
      <c r="G183" s="3">
        <v>14479</v>
      </c>
      <c r="H183" s="4">
        <f t="shared" si="13"/>
        <v>103336</v>
      </c>
      <c r="I183" s="4">
        <f t="shared" si="12"/>
        <v>97737.666666666672</v>
      </c>
      <c r="J183" s="13">
        <f t="shared" si="14"/>
        <v>4.3449344345456394E-2</v>
      </c>
    </row>
    <row r="184" spans="1:10" x14ac:dyDescent="0.3">
      <c r="A184" s="5">
        <v>45460</v>
      </c>
      <c r="B184" s="1" t="s">
        <v>1</v>
      </c>
      <c r="C184" s="3">
        <v>881</v>
      </c>
      <c r="D184" s="3">
        <v>291</v>
      </c>
      <c r="E184" s="3">
        <v>95885</v>
      </c>
      <c r="F184" s="2">
        <v>5.29</v>
      </c>
      <c r="G184" s="3">
        <v>12391</v>
      </c>
      <c r="H184" s="4">
        <f t="shared" si="13"/>
        <v>96475</v>
      </c>
      <c r="I184" s="4">
        <f t="shared" si="12"/>
        <v>94341.666666666672</v>
      </c>
      <c r="J184" s="13">
        <f t="shared" si="14"/>
        <v>4.3449344345456394E-2</v>
      </c>
    </row>
    <row r="185" spans="1:10" x14ac:dyDescent="0.3">
      <c r="A185" s="5">
        <v>45453</v>
      </c>
      <c r="B185" s="1" t="s">
        <v>1</v>
      </c>
      <c r="C185" s="3">
        <v>1018</v>
      </c>
      <c r="D185" s="3">
        <v>90</v>
      </c>
      <c r="E185" s="3">
        <v>92474</v>
      </c>
      <c r="F185" s="2">
        <v>9.4</v>
      </c>
      <c r="G185" s="3">
        <v>11966</v>
      </c>
      <c r="H185" s="4">
        <f t="shared" si="13"/>
        <v>93402</v>
      </c>
      <c r="I185" s="4">
        <f t="shared" si="12"/>
        <v>93057</v>
      </c>
      <c r="J185" s="13">
        <f t="shared" si="14"/>
        <v>4.3449344345456394E-2</v>
      </c>
    </row>
    <row r="186" spans="1:10" x14ac:dyDescent="0.3">
      <c r="A186" s="5">
        <v>45698</v>
      </c>
      <c r="B186" s="1" t="s">
        <v>2</v>
      </c>
      <c r="C186" s="3">
        <v>1270</v>
      </c>
      <c r="D186" s="3">
        <v>162</v>
      </c>
      <c r="E186" s="3">
        <v>92040</v>
      </c>
      <c r="F186" s="2">
        <v>8.0299999999999994</v>
      </c>
      <c r="G186" s="3">
        <v>6120</v>
      </c>
      <c r="H186" s="4">
        <f t="shared" si="13"/>
        <v>93148</v>
      </c>
      <c r="I186" s="4">
        <f t="shared" si="12"/>
        <v>92169</v>
      </c>
      <c r="J186" s="13">
        <f t="shared" si="14"/>
        <v>4.3449344345456394E-2</v>
      </c>
    </row>
    <row r="187" spans="1:10" x14ac:dyDescent="0.3">
      <c r="A187" s="5">
        <v>45838</v>
      </c>
      <c r="B187" s="1" t="s">
        <v>3</v>
      </c>
      <c r="C187" s="3">
        <v>693</v>
      </c>
      <c r="D187" s="3">
        <v>97</v>
      </c>
      <c r="E187" s="3">
        <v>92025</v>
      </c>
      <c r="F187" s="2">
        <v>5.95</v>
      </c>
      <c r="G187" s="3">
        <v>15915</v>
      </c>
      <c r="H187" s="4">
        <f t="shared" si="13"/>
        <v>92621</v>
      </c>
      <c r="I187" s="4">
        <f t="shared" si="12"/>
        <v>90385.666666666672</v>
      </c>
      <c r="J187" s="13">
        <f t="shared" si="14"/>
        <v>4.3449344345456394E-2</v>
      </c>
    </row>
    <row r="188" spans="1:10" x14ac:dyDescent="0.3">
      <c r="A188" s="5">
        <v>45908</v>
      </c>
      <c r="B188" s="1" t="s">
        <v>1</v>
      </c>
      <c r="C188" s="3">
        <v>1017</v>
      </c>
      <c r="D188" s="3">
        <v>197</v>
      </c>
      <c r="E188" s="3">
        <v>89918</v>
      </c>
      <c r="F188" s="2">
        <v>3.91</v>
      </c>
      <c r="G188" s="3">
        <v>7881</v>
      </c>
      <c r="H188" s="4">
        <f t="shared" si="13"/>
        <v>90738</v>
      </c>
      <c r="I188" s="4">
        <f t="shared" si="12"/>
        <v>88777.666666666672</v>
      </c>
      <c r="J188" s="13">
        <f t="shared" si="14"/>
        <v>4.3449344345456394E-2</v>
      </c>
    </row>
    <row r="189" spans="1:10" x14ac:dyDescent="0.3">
      <c r="A189" s="5">
        <v>45467</v>
      </c>
      <c r="B189" s="1" t="s">
        <v>1</v>
      </c>
      <c r="C189" s="3">
        <v>809</v>
      </c>
      <c r="D189" s="3">
        <v>197</v>
      </c>
      <c r="E189" s="3">
        <v>87186</v>
      </c>
      <c r="F189" s="2">
        <v>9.48</v>
      </c>
      <c r="G189" s="3">
        <v>22619</v>
      </c>
      <c r="H189" s="4">
        <f t="shared" si="13"/>
        <v>87798</v>
      </c>
      <c r="I189" s="4">
        <f t="shared" si="12"/>
        <v>87796</v>
      </c>
      <c r="J189" s="13">
        <f t="shared" si="14"/>
        <v>4.3449344345456394E-2</v>
      </c>
    </row>
    <row r="190" spans="1:10" x14ac:dyDescent="0.3">
      <c r="A190" s="5">
        <v>45586</v>
      </c>
      <c r="B190" s="1" t="s">
        <v>1</v>
      </c>
      <c r="C190" s="3">
        <v>1190</v>
      </c>
      <c r="D190" s="3">
        <v>242</v>
      </c>
      <c r="E190" s="3">
        <v>86849</v>
      </c>
      <c r="F190" s="2">
        <v>8.06</v>
      </c>
      <c r="G190" s="3">
        <v>21254</v>
      </c>
      <c r="H190" s="4">
        <f t="shared" si="13"/>
        <v>87797</v>
      </c>
      <c r="I190" s="4">
        <f t="shared" si="12"/>
        <v>86053.666666666672</v>
      </c>
      <c r="J190" s="13">
        <f t="shared" si="14"/>
        <v>4.3449344345456394E-2</v>
      </c>
    </row>
    <row r="191" spans="1:10" x14ac:dyDescent="0.3">
      <c r="A191" s="5">
        <v>45873</v>
      </c>
      <c r="B191" s="1" t="s">
        <v>1</v>
      </c>
      <c r="C191" s="3">
        <v>949</v>
      </c>
      <c r="D191" s="3">
        <v>282</v>
      </c>
      <c r="E191" s="3">
        <v>87126</v>
      </c>
      <c r="F191" s="2">
        <v>4.96</v>
      </c>
      <c r="G191" s="3">
        <v>5413</v>
      </c>
      <c r="H191" s="4">
        <f t="shared" si="13"/>
        <v>87793</v>
      </c>
      <c r="I191" s="4">
        <f t="shared" si="12"/>
        <v>84310.333333333328</v>
      </c>
      <c r="J191" s="13">
        <f t="shared" si="14"/>
        <v>4.3449344345456394E-2</v>
      </c>
    </row>
    <row r="192" spans="1:10" x14ac:dyDescent="0.3">
      <c r="A192" s="5">
        <v>45866</v>
      </c>
      <c r="B192" s="1" t="s">
        <v>3</v>
      </c>
      <c r="C192" s="3">
        <v>1490</v>
      </c>
      <c r="D192" s="3">
        <v>103</v>
      </c>
      <c r="E192" s="3">
        <v>81184</v>
      </c>
      <c r="F192" s="2">
        <v>7.79</v>
      </c>
      <c r="G192" s="3">
        <v>10681</v>
      </c>
      <c r="H192" s="4">
        <f t="shared" si="13"/>
        <v>82571</v>
      </c>
      <c r="I192" s="4">
        <f t="shared" si="12"/>
        <v>82332</v>
      </c>
      <c r="J192" s="13">
        <f t="shared" si="14"/>
        <v>4.3449344345456394E-2</v>
      </c>
    </row>
    <row r="193" spans="1:10" x14ac:dyDescent="0.3">
      <c r="A193" s="5">
        <v>45901</v>
      </c>
      <c r="B193" s="1" t="s">
        <v>2</v>
      </c>
      <c r="C193" s="3">
        <v>572</v>
      </c>
      <c r="D193" s="3">
        <v>270</v>
      </c>
      <c r="E193" s="3">
        <v>82265</v>
      </c>
      <c r="F193" s="2">
        <v>3.65</v>
      </c>
      <c r="G193" s="3">
        <v>13140</v>
      </c>
      <c r="H193" s="4">
        <f t="shared" si="13"/>
        <v>82567</v>
      </c>
      <c r="I193" s="4">
        <f t="shared" si="12"/>
        <v>81420.666666666672</v>
      </c>
      <c r="J193" s="13">
        <f t="shared" si="14"/>
        <v>4.3449344345456394E-2</v>
      </c>
    </row>
    <row r="194" spans="1:10" x14ac:dyDescent="0.3">
      <c r="A194" s="5">
        <v>45558</v>
      </c>
      <c r="B194" s="1" t="s">
        <v>1</v>
      </c>
      <c r="C194" s="3">
        <v>1290</v>
      </c>
      <c r="D194" s="3">
        <v>177</v>
      </c>
      <c r="E194" s="3">
        <v>80745</v>
      </c>
      <c r="F194" s="2">
        <v>9.2200000000000006</v>
      </c>
      <c r="G194" s="3">
        <v>26872</v>
      </c>
      <c r="H194" s="4">
        <f t="shared" ref="H194:H201" si="15">E194+C194-D194</f>
        <v>81858</v>
      </c>
      <c r="I194" s="4">
        <f t="shared" si="12"/>
        <v>79977.333333333328</v>
      </c>
      <c r="J194" s="13">
        <f t="shared" ref="J194:J201" si="16">CORREL(H$1:H$201,G$1:G$201)</f>
        <v>4.3449344345456394E-2</v>
      </c>
    </row>
    <row r="195" spans="1:10" x14ac:dyDescent="0.3">
      <c r="A195" s="5">
        <v>45502</v>
      </c>
      <c r="B195" s="1" t="s">
        <v>2</v>
      </c>
      <c r="C195" s="3">
        <v>611</v>
      </c>
      <c r="D195" s="3">
        <v>197</v>
      </c>
      <c r="E195" s="3">
        <v>79423</v>
      </c>
      <c r="F195" s="2">
        <v>5.82</v>
      </c>
      <c r="G195" s="3">
        <v>13644</v>
      </c>
      <c r="H195" s="4">
        <f t="shared" si="15"/>
        <v>79837</v>
      </c>
      <c r="I195" s="4">
        <f t="shared" ref="I195:I201" si="17">AVERAGE(H195:H197)</f>
        <v>78185.666666666672</v>
      </c>
      <c r="J195" s="13">
        <f t="shared" si="16"/>
        <v>4.3449344345456394E-2</v>
      </c>
    </row>
    <row r="196" spans="1:10" x14ac:dyDescent="0.3">
      <c r="A196" s="5">
        <v>45481</v>
      </c>
      <c r="B196" s="1" t="s">
        <v>2</v>
      </c>
      <c r="C196" s="3">
        <v>1471</v>
      </c>
      <c r="D196" s="3">
        <v>100</v>
      </c>
      <c r="E196" s="3">
        <v>76866</v>
      </c>
      <c r="F196" s="2">
        <v>8.5500000000000007</v>
      </c>
      <c r="G196" s="3">
        <v>14412</v>
      </c>
      <c r="H196" s="4">
        <f t="shared" si="15"/>
        <v>78237</v>
      </c>
      <c r="I196" s="4">
        <f t="shared" si="17"/>
        <v>74807</v>
      </c>
      <c r="J196" s="13">
        <f t="shared" si="16"/>
        <v>4.3449344345456394E-2</v>
      </c>
    </row>
    <row r="197" spans="1:10" x14ac:dyDescent="0.3">
      <c r="A197" s="5">
        <v>45691</v>
      </c>
      <c r="B197" s="1" t="s">
        <v>2</v>
      </c>
      <c r="C197" s="3">
        <v>681</v>
      </c>
      <c r="D197" s="3">
        <v>158</v>
      </c>
      <c r="E197" s="3">
        <v>75960</v>
      </c>
      <c r="F197" s="2">
        <v>3.13</v>
      </c>
      <c r="G197" s="3">
        <v>24112</v>
      </c>
      <c r="H197" s="4">
        <f t="shared" si="15"/>
        <v>76483</v>
      </c>
      <c r="I197" s="4">
        <f t="shared" si="17"/>
        <v>70452.666666666672</v>
      </c>
      <c r="J197" s="13">
        <f t="shared" si="16"/>
        <v>4.3449344345456394E-2</v>
      </c>
    </row>
    <row r="198" spans="1:10" x14ac:dyDescent="0.3">
      <c r="A198" s="5">
        <v>45516</v>
      </c>
      <c r="B198" s="1" t="s">
        <v>1</v>
      </c>
      <c r="C198" s="3">
        <v>1060</v>
      </c>
      <c r="D198" s="3">
        <v>83</v>
      </c>
      <c r="E198" s="3">
        <v>68724</v>
      </c>
      <c r="F198" s="2">
        <v>5.98</v>
      </c>
      <c r="G198" s="3">
        <v>5624</v>
      </c>
      <c r="H198" s="4">
        <f t="shared" si="15"/>
        <v>69701</v>
      </c>
      <c r="I198" s="4">
        <f t="shared" si="17"/>
        <v>66012.333333333328</v>
      </c>
      <c r="J198" s="13">
        <f t="shared" si="16"/>
        <v>4.3449344345456394E-2</v>
      </c>
    </row>
    <row r="199" spans="1:10" x14ac:dyDescent="0.3">
      <c r="A199" s="5">
        <v>45817</v>
      </c>
      <c r="B199" s="1" t="s">
        <v>1</v>
      </c>
      <c r="C199" s="3">
        <v>917</v>
      </c>
      <c r="D199" s="3">
        <v>187</v>
      </c>
      <c r="E199" s="3">
        <v>64444</v>
      </c>
      <c r="F199" s="2">
        <v>5.22</v>
      </c>
      <c r="G199" s="3">
        <v>13013</v>
      </c>
      <c r="H199" s="4">
        <f t="shared" si="15"/>
        <v>65174</v>
      </c>
      <c r="I199" s="4">
        <f t="shared" si="17"/>
        <v>63387.666666666664</v>
      </c>
      <c r="J199" s="13">
        <f t="shared" si="16"/>
        <v>4.3449344345456394E-2</v>
      </c>
    </row>
    <row r="200" spans="1:10" x14ac:dyDescent="0.3">
      <c r="A200" s="5">
        <v>45824</v>
      </c>
      <c r="B200" s="1" t="s">
        <v>2</v>
      </c>
      <c r="C200" s="3">
        <v>540</v>
      </c>
      <c r="D200" s="3">
        <v>215</v>
      </c>
      <c r="E200" s="3">
        <v>62837</v>
      </c>
      <c r="F200" s="2">
        <v>5.3</v>
      </c>
      <c r="G200" s="3">
        <v>10615</v>
      </c>
      <c r="H200" s="4">
        <f t="shared" si="15"/>
        <v>63162</v>
      </c>
      <c r="I200" s="4">
        <f t="shared" si="17"/>
        <v>62494.5</v>
      </c>
      <c r="J200" s="13">
        <f t="shared" si="16"/>
        <v>4.3449344345456394E-2</v>
      </c>
    </row>
    <row r="201" spans="1:10" x14ac:dyDescent="0.3">
      <c r="A201" s="5">
        <v>45523</v>
      </c>
      <c r="B201" s="1" t="s">
        <v>2</v>
      </c>
      <c r="C201" s="3">
        <v>571</v>
      </c>
      <c r="D201" s="3">
        <v>189</v>
      </c>
      <c r="E201" s="3">
        <v>61445</v>
      </c>
      <c r="F201" s="2">
        <v>5.41</v>
      </c>
      <c r="G201" s="3">
        <v>27829</v>
      </c>
      <c r="H201" s="4">
        <f t="shared" si="15"/>
        <v>61827</v>
      </c>
      <c r="I201" s="4">
        <f t="shared" si="17"/>
        <v>61827</v>
      </c>
      <c r="J201" s="13">
        <f t="shared" si="16"/>
        <v>4.3449344345456394E-2</v>
      </c>
    </row>
  </sheetData>
  <sortState xmlns:xlrd2="http://schemas.microsoft.com/office/spreadsheetml/2017/richdata2" ref="A2:J201">
    <sortCondition descending="1" ref="H1:H201"/>
  </sortState>
  <mergeCells count="1">
    <mergeCell ref="L2:R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highest net follower gain </vt:lpstr>
      <vt:lpstr>Moving average</vt:lpstr>
      <vt:lpstr>Ad Spend vs. Follower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yevate</cp:lastModifiedBy>
  <dcterms:modified xsi:type="dcterms:W3CDTF">2026-02-24T11:09:50Z</dcterms:modified>
</cp:coreProperties>
</file>