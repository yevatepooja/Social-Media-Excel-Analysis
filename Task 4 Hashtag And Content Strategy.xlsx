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fba5b1fa799382c/Desktop/"/>
    </mc:Choice>
  </mc:AlternateContent>
  <xr:revisionPtr revIDLastSave="290" documentId="11_E4B3978DCEABCEDF4386E6969182B7DC8A708D61" xr6:coauthVersionLast="47" xr6:coauthVersionMax="47" xr10:uidLastSave="{CE8C6C98-5A73-4ED7-9786-2B85F04FF01B}"/>
  <bookViews>
    <workbookView xWindow="84" yWindow="0" windowWidth="22956" windowHeight="12240" activeTab="1" xr2:uid="{00000000-000D-0000-FFFF-FFFF00000000}"/>
  </bookViews>
  <sheets>
    <sheet name=" frequent hashtags &amp; avg engmt" sheetId="4" r:id="rId1"/>
    <sheet name=" content-platform combination" sheetId="5" r:id="rId2"/>
    <sheet name="Posts" sheetId="1" r:id="rId3"/>
    <sheet name="Engagement Summary" sheetId="2" r:id="rId4"/>
    <sheet name="Campaign Metadata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</calcChain>
</file>

<file path=xl/sharedStrings.xml><?xml version="1.0" encoding="utf-8"?>
<sst xmlns="http://schemas.openxmlformats.org/spreadsheetml/2006/main" count="2078" uniqueCount="382">
  <si>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</si>
  <si>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</si>
  <si>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</si>
  <si>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</si>
  <si>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</si>
  <si>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</si>
  <si>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</si>
  <si>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</si>
  <si>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</si>
  <si>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</si>
  <si>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</si>
  <si>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</si>
  <si>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</si>
  <si>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</si>
  <si>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</si>
  <si>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</si>
  <si>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</si>
  <si>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</si>
  <si>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</si>
  <si>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</si>
  <si>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</si>
  <si>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</si>
  <si>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</si>
  <si>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</si>
  <si>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</si>
  <si>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</si>
  <si>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</si>
  <si>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</si>
  <si>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</si>
  <si>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</si>
  <si>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</si>
  <si>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</si>
  <si>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</si>
  <si>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</si>
  <si>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</si>
  <si>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</si>
  <si>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</si>
  <si>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</si>
  <si>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</si>
  <si>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</si>
  <si>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</si>
  <si>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</si>
  <si>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</si>
  <si>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</si>
  <si>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</si>
  <si>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</si>
  <si>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</si>
  <si>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</si>
  <si>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</si>
  <si>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</si>
  <si>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</si>
  <si>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</si>
  <si>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</si>
  <si>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</si>
  <si>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</si>
  <si>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</si>
  <si>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</si>
  <si>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</si>
  <si>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</si>
  <si>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</si>
  <si>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</si>
  <si>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</si>
  <si>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</si>
  <si>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</si>
  <si>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</si>
  <si>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</si>
  <si>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</si>
  <si>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</si>
  <si>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</si>
  <si>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</si>
  <si>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</si>
  <si>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</si>
  <si>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</si>
  <si>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</si>
  <si>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</si>
  <si>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</si>
  <si>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</si>
  <si>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</si>
  <si>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</si>
  <si>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</si>
  <si>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</si>
  <si>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</si>
  <si>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</si>
  <si>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</si>
  <si>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</si>
  <si>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</si>
  <si>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</si>
  <si>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</si>
  <si>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</si>
  <si>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</si>
  <si>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</si>
  <si>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</si>
  <si>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</si>
  <si>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</si>
  <si>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</si>
  <si>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</si>
  <si>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</si>
  <si>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</si>
  <si>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</si>
  <si>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</si>
  <si>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</si>
  <si>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</si>
  <si>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</si>
  <si>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</si>
  <si>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</si>
  <si>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</si>
  <si>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</si>
  <si>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</si>
  <si>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</si>
  <si>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</si>
  <si>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</si>
  <si>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</si>
  <si>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</si>
  <si>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</si>
  <si>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</si>
  <si>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</si>
  <si>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</si>
  <si>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</si>
  <si>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</si>
  <si>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</si>
  <si>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</si>
  <si>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</si>
  <si>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</si>
  <si>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</si>
  <si>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</si>
  <si>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</si>
  <si>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</si>
  <si>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</si>
  <si>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</si>
  <si>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</si>
  <si>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</si>
  <si>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</si>
  <si>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</si>
  <si>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</si>
  <si>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</si>
  <si>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</si>
  <si>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</si>
  <si>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</si>
  <si>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</si>
  <si>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</si>
  <si>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</si>
  <si>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</si>
  <si>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</si>
  <si>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</si>
  <si>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</si>
  <si>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</si>
  <si>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</si>
  <si>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</si>
  <si>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</si>
  <si>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</si>
  <si>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</si>
  <si>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</si>
  <si>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</si>
  <si>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</si>
  <si>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</si>
  <si>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</si>
  <si>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</si>
  <si>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</si>
  <si>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</si>
  <si>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</si>
  <si>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</si>
  <si>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</si>
  <si>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</si>
  <si>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</si>
  <si>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</si>
  <si>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</si>
  <si>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</si>
  <si>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</si>
  <si>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</si>
  <si>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</si>
  <si>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</si>
  <si>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</si>
  <si>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</si>
  <si>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</si>
  <si>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</si>
  <si>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</si>
  <si>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</si>
  <si>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</si>
  <si>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</si>
  <si>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</si>
  <si>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</si>
  <si>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</si>
  <si>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</si>
  <si>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</si>
  <si>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</si>
  <si>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</si>
  <si>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</si>
  <si>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</si>
  <si>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</si>
  <si>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</si>
  <si>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</si>
  <si>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</si>
  <si>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</si>
  <si>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</si>
  <si>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</si>
  <si>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</si>
  <si>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</si>
  <si>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</si>
  <si>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</si>
  <si>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</si>
  <si>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</si>
  <si>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</si>
  <si>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</si>
  <si>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</si>
  <si>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</si>
  <si>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</si>
  <si>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</si>
  <si>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</si>
  <si>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</si>
  <si>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</si>
  <si>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</si>
  <si>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</si>
  <si>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</si>
  <si>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</si>
  <si>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</si>
  <si>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</si>
  <si>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</si>
  <si>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</si>
  <si>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</si>
  <si>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</si>
  <si>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</si>
  <si>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</si>
  <si>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</si>
  <si>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</si>
  <si>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</si>
  <si>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</si>
  <si>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</si>
  <si>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</si>
  <si>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</si>
  <si>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</si>
  <si>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</si>
  <si>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</si>
  <si>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</si>
  <si>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</si>
  <si>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</si>
  <si>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</si>
  <si>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</si>
  <si>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</si>
  <si>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</si>
  <si>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</si>
  <si>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</si>
  <si>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</si>
  <si>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</si>
  <si>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</si>
  <si>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</si>
  <si>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</si>
  <si>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</si>
  <si>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</si>
  <si>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</si>
  <si>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</si>
  <si>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</si>
  <si>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</si>
  <si>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</si>
  <si>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</si>
  <si>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</si>
  <si>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</si>
  <si>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</si>
  <si>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</si>
  <si>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</si>
  <si>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</si>
  <si>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</si>
  <si>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</si>
  <si>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</si>
  <si>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</si>
  <si>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</si>
  <si>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</si>
  <si>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</si>
  <si>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</si>
  <si>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</si>
  <si>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</si>
  <si>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</si>
  <si>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</si>
  <si>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</si>
  <si>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</si>
  <si>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</si>
  <si>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</si>
  <si>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</si>
  <si>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</si>
  <si>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</si>
  <si>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</si>
  <si>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</si>
  <si>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</si>
  <si>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</si>
  <si>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</si>
  <si>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</si>
  <si>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</si>
  <si>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</si>
  <si>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</si>
  <si>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</si>
  <si>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</si>
  <si>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</si>
  <si>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</si>
  <si>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</si>
  <si>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</si>
  <si>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</si>
  <si>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</si>
  <si>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</si>
  <si>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</si>
  <si>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</si>
  <si>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</si>
  <si>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</si>
  <si>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</si>
  <si>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</si>
  <si>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</si>
  <si>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</si>
  <si>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</si>
  <si>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</si>
  <si>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</si>
  <si>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</si>
  <si>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</si>
  <si>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</si>
  <si>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</si>
  <si>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</si>
  <si>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</si>
  <si>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</si>
  <si>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</si>
  <si>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</si>
  <si>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</si>
  <si>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</si>
  <si>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</si>
  <si>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</si>
  <si>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</si>
  <si>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</si>
  <si>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</si>
  <si>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</si>
  <si>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</si>
  <si>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</si>
  <si>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</si>
  <si>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</si>
  <si>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</si>
  <si>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</si>
  <si>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</si>
  <si>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</si>
  <si>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</si>
  <si>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</si>
  <si>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</si>
  <si>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</si>
  <si>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</si>
  <si>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</si>
  <si>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</si>
  <si>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</si>
  <si>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</si>
  <si>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</si>
  <si>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</si>
  <si>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</si>
  <si>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</si>
  <si>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</si>
  <si>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</si>
  <si>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</si>
  <si>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</si>
  <si>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</si>
  <si>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</si>
  <si>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</si>
  <si>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</si>
  <si>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</si>
  <si>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</si>
  <si>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</si>
  <si>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</si>
  <si>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</si>
  <si>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</si>
  <si>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</si>
  <si>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</si>
  <si>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</si>
  <si>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</si>
  <si>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</si>
  <si>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</si>
  <si>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</si>
  <si>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</si>
  <si>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</si>
  <si>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</si>
  <si>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</si>
  <si>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</si>
  <si>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</si>
  <si>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Engagement Rate</t>
  </si>
  <si>
    <t>Row Labels</t>
  </si>
  <si>
    <t>Grand Total</t>
  </si>
  <si>
    <t>Count of Hashtags Used</t>
  </si>
  <si>
    <t>Average of Engagement Rate</t>
  </si>
  <si>
    <t>Most frequent hashtags and average engagement</t>
  </si>
  <si>
    <t>Column Labels</t>
  </si>
  <si>
    <t xml:space="preserve"> content types (Text, Story,Reel) performance across platforms </t>
  </si>
  <si>
    <t>optimal content type-platform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</si>
</sst>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49" fontId="4" fillId="0" borderId="0" xfId="0" applyNumberFormat="1" applyFont="1"/>
    <xf numFmtId="49" fontId="1" fillId="0" borderId="0" xfId="0" applyNumberFormat="1" applyFont="1"/>
    <xf numFmtId="14" fontId="4" fillId="0" borderId="0" xfId="0" applyNumberFormat="1" applyFont="1" applyAlignment="1">
      <alignment horizontal="right"/>
    </xf>
    <xf numFmtId="14" fontId="1" fillId="0" borderId="0" xfId="0" applyNumberFormat="1" applyFont="1"/>
    <xf numFmtId="1" fontId="4" fillId="0" borderId="0" xfId="0" applyNumberFormat="1" applyFont="1" applyAlignment="1">
      <alignment horizontal="right"/>
    </xf>
    <xf numFmtId="1" fontId="1" fillId="0" borderId="0" xfId="0" applyNumberFormat="1" applyFont="1"/>
    <xf numFmtId="14" fontId="5" fillId="0" borderId="0" xfId="0" applyNumberFormat="1" applyFont="1"/>
    <xf numFmtId="49" fontId="5" fillId="0" borderId="0" xfId="0" applyNumberFormat="1" applyFont="1"/>
    <xf numFmtId="1" fontId="5" fillId="0" borderId="0" xfId="0" applyNumberFormat="1" applyFont="1"/>
    <xf numFmtId="0" fontId="5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pivotButton="1" applyFont="1"/>
    <xf numFmtId="0" fontId="8" fillId="0" borderId="0" xfId="0" applyFont="1"/>
    <xf numFmtId="0" fontId="8" fillId="0" borderId="0" xfId="0" applyFont="1" applyAlignment="1">
      <alignment horizontal="left"/>
    </xf>
    <xf numFmtId="10" fontId="8" fillId="0" borderId="0" xfId="0" applyNumberFormat="1" applyFont="1"/>
    <xf numFmtId="9" fontId="0" fillId="0" borderId="0" xfId="0" applyNumberFormat="1"/>
    <xf numFmtId="9" fontId="5" fillId="0" borderId="0" xfId="1" applyFont="1"/>
    <xf numFmtId="9" fontId="0" fillId="0" borderId="0" xfId="1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12">
    <dxf>
      <numFmt numFmtId="14" formatCode="0.0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Hashtag And Content Strategy.xlsx] frequent hashtags &amp; avg engmt!PivotTable10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 frequent hashtags &amp; avg engmt'!$B$5</c:f>
              <c:strCache>
                <c:ptCount val="1"/>
                <c:pt idx="0">
                  <c:v>Count of Hashtags Used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frequent hashtags &amp; avg engmt'!$A$6:$A$14</c:f>
              <c:strCache>
                <c:ptCount val="8"/>
                <c:pt idx="0">
                  <c:v>#NowPlaying</c:v>
                </c:pt>
                <c:pt idx="1">
                  <c:v>#SoundtrackOfLife,#NowPlaying</c:v>
                </c:pt>
                <c:pt idx="2">
                  <c:v>#DiscoverWeekly,#MusicForEveryone</c:v>
                </c:pt>
                <c:pt idx="3">
                  <c:v>#DiscoverWeekly,#SpotifyWrapped</c:v>
                </c:pt>
                <c:pt idx="4">
                  <c:v>#MusicForEveryone,#NowPlaying</c:v>
                </c:pt>
                <c:pt idx="5">
                  <c:v>#DiscoverWeekly</c:v>
                </c:pt>
                <c:pt idx="6">
                  <c:v>#DiscoverWeekly,#SoundtrackOfLife</c:v>
                </c:pt>
                <c:pt idx="7">
                  <c:v>#SoundtrackOfLife</c:v>
                </c:pt>
              </c:strCache>
            </c:strRef>
          </c:cat>
          <c:val>
            <c:numRef>
              <c:f>' frequent hashtags &amp; avg engmt'!$B$6:$B$14</c:f>
              <c:numCache>
                <c:formatCode>General</c:formatCode>
                <c:ptCount val="8"/>
                <c:pt idx="0">
                  <c:v>57</c:v>
                </c:pt>
                <c:pt idx="1">
                  <c:v>53</c:v>
                </c:pt>
                <c:pt idx="2">
                  <c:v>34</c:v>
                </c:pt>
                <c:pt idx="3">
                  <c:v>34</c:v>
                </c:pt>
                <c:pt idx="4">
                  <c:v>33</c:v>
                </c:pt>
                <c:pt idx="5">
                  <c:v>33</c:v>
                </c:pt>
                <c:pt idx="6">
                  <c:v>29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0-4FA2-A24D-2A828FB217C0}"/>
            </c:ext>
          </c:extLst>
        </c:ser>
        <c:ser>
          <c:idx val="1"/>
          <c:order val="1"/>
          <c:tx>
            <c:strRef>
              <c:f>' frequent hashtags &amp; avg engmt'!$C$5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frequent hashtags &amp; avg engmt'!$A$6:$A$14</c:f>
              <c:strCache>
                <c:ptCount val="8"/>
                <c:pt idx="0">
                  <c:v>#NowPlaying</c:v>
                </c:pt>
                <c:pt idx="1">
                  <c:v>#SoundtrackOfLife,#NowPlaying</c:v>
                </c:pt>
                <c:pt idx="2">
                  <c:v>#DiscoverWeekly,#MusicForEveryone</c:v>
                </c:pt>
                <c:pt idx="3">
                  <c:v>#DiscoverWeekly,#SpotifyWrapped</c:v>
                </c:pt>
                <c:pt idx="4">
                  <c:v>#MusicForEveryone,#NowPlaying</c:v>
                </c:pt>
                <c:pt idx="5">
                  <c:v>#DiscoverWeekly</c:v>
                </c:pt>
                <c:pt idx="6">
                  <c:v>#DiscoverWeekly,#SoundtrackOfLife</c:v>
                </c:pt>
                <c:pt idx="7">
                  <c:v>#SoundtrackOfLife</c:v>
                </c:pt>
              </c:strCache>
            </c:strRef>
          </c:cat>
          <c:val>
            <c:numRef>
              <c:f>' frequent hashtags &amp; avg engmt'!$C$6:$C$14</c:f>
              <c:numCache>
                <c:formatCode>0%</c:formatCode>
                <c:ptCount val="8"/>
                <c:pt idx="0">
                  <c:v>9.9415713745613254E-2</c:v>
                </c:pt>
                <c:pt idx="1">
                  <c:v>0.10039881758986871</c:v>
                </c:pt>
                <c:pt idx="2">
                  <c:v>8.4104102259874289E-2</c:v>
                </c:pt>
                <c:pt idx="3">
                  <c:v>8.640329129367573E-2</c:v>
                </c:pt>
                <c:pt idx="4">
                  <c:v>9.4160897902485829E-2</c:v>
                </c:pt>
                <c:pt idx="5">
                  <c:v>9.0257921312820288E-2</c:v>
                </c:pt>
                <c:pt idx="6">
                  <c:v>9.010688153503349E-2</c:v>
                </c:pt>
                <c:pt idx="7">
                  <c:v>8.7432152698750445E-2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E0-4FA2-A24D-2A828FB217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100"/>
        <c:axId val="1565962879"/>
        <c:axId val="1565968159"/>
      </c:barChart>
      <c:catAx>
        <c:axId val="156596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8159"/>
        <c:crosses val="autoZero"/>
        <c:auto val="1"/>
        <c:lblAlgn val="ctr"/>
        <c:lblOffset val="100"/>
        <c:noMultiLvlLbl val="0"/>
      </c:catAx>
      <c:valAx>
        <c:axId val="15659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34307901594943"/>
          <c:y val="0.22273236066079977"/>
          <c:w val="0.23985054554131147"/>
          <c:h val="0.30126730482219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Hashtag And Content Strategy.xlsx] content-platform combination!PivotTable1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2.6497085320614733E-2"/>
              <c:y val="-4.60405156537753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2.64970853206147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1.059883412824589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1.3248542660307366E-2"/>
              <c:y val="-8.440663695924857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7.9491255961844191E-3"/>
              <c:y val="-4.220331847962428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content-platform combination'!$C$6:$C$7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617-4EE4-B9A2-74EFBBA15A67}"/>
              </c:ext>
            </c:extLst>
          </c:dPt>
          <c:dLbls>
            <c:dLbl>
              <c:idx val="2"/>
              <c:layout>
                <c:manualLayout>
                  <c:x val="7.9491255961844191E-3"/>
                  <c:y val="-4.220331847962428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17-4EE4-B9A2-74EFBBA15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content-platform combination'!$B$8:$B$11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 content-platform combination'!$C$8:$C$11</c:f>
              <c:numCache>
                <c:formatCode>0.00%</c:formatCode>
                <c:ptCount val="3"/>
                <c:pt idx="2">
                  <c:v>9.010688153503349E-2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7-4EE4-B9A2-74EFBBA15A67}"/>
            </c:ext>
          </c:extLst>
        </c:ser>
        <c:ser>
          <c:idx val="1"/>
          <c:order val="1"/>
          <c:tx>
            <c:strRef>
              <c:f>' content-platform combination'!$D$6:$D$7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17-4EE4-B9A2-74EFBBA15A67}"/>
              </c:ext>
            </c:extLst>
          </c:dPt>
          <c:dLbls>
            <c:dLbl>
              <c:idx val="1"/>
              <c:layout>
                <c:manualLayout>
                  <c:x val="-2.64970853206147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17-4EE4-B9A2-74EFBBA15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content-platform combination'!$B$8:$B$11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 content-platform combination'!$D$8:$D$11</c:f>
              <c:numCache>
                <c:formatCode>0.00%</c:formatCode>
                <c:ptCount val="3"/>
                <c:pt idx="0">
                  <c:v>9.5509123528654066E-2</c:v>
                </c:pt>
                <c:pt idx="1">
                  <c:v>9.6350204330797537E-2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17-4EE4-B9A2-74EFBBA15A67}"/>
            </c:ext>
          </c:extLst>
        </c:ser>
        <c:ser>
          <c:idx val="2"/>
          <c:order val="2"/>
          <c:tx>
            <c:strRef>
              <c:f>' content-platform combination'!$E$6:$E$7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617-4EE4-B9A2-74EFBBA15A6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617-4EE4-B9A2-74EFBBA15A6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17-4EE4-B9A2-74EFBBA15A67}"/>
              </c:ext>
            </c:extLst>
          </c:dPt>
          <c:dLbls>
            <c:dLbl>
              <c:idx val="0"/>
              <c:layout>
                <c:manualLayout>
                  <c:x val="1.059883412824589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17-4EE4-B9A2-74EFBBA15A67}"/>
                </c:ext>
              </c:extLst>
            </c:dLbl>
            <c:dLbl>
              <c:idx val="1"/>
              <c:layout>
                <c:manualLayout>
                  <c:x val="2.6497085320614733E-2"/>
                  <c:y val="-4.60405156537753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17-4EE4-B9A2-74EFBBA15A67}"/>
                </c:ext>
              </c:extLst>
            </c:dLbl>
            <c:dLbl>
              <c:idx val="2"/>
              <c:layout>
                <c:manualLayout>
                  <c:x val="1.3248542660307366E-2"/>
                  <c:y val="-8.440663695924857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17-4EE4-B9A2-74EFBBA15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content-platform combination'!$B$8:$B$11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 content-platform combination'!$E$8:$E$11</c:f>
              <c:numCache>
                <c:formatCode>0.00%</c:formatCode>
                <c:ptCount val="3"/>
                <c:pt idx="0">
                  <c:v>8.9151970703401293E-2</c:v>
                </c:pt>
                <c:pt idx="1">
                  <c:v>9.5584491232904453E-2</c:v>
                </c:pt>
                <c:pt idx="2">
                  <c:v>8.640329129367573E-2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17-4EE4-B9A2-74EFBBA15A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533968"/>
        <c:axId val="1745530128"/>
      </c:barChart>
      <c:catAx>
        <c:axId val="174553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30128"/>
        <c:crosses val="autoZero"/>
        <c:auto val="1"/>
        <c:lblAlgn val="ctr"/>
        <c:lblOffset val="100"/>
        <c:noMultiLvlLbl val="0"/>
      </c:catAx>
      <c:valAx>
        <c:axId val="17455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3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4</xdr:row>
      <xdr:rowOff>7620</xdr:rowOff>
    </xdr:from>
    <xdr:to>
      <xdr:col>6</xdr:col>
      <xdr:colOff>358140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3A64A-AD02-6AE6-6839-4DBC1190B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15</xdr:row>
      <xdr:rowOff>60960</xdr:rowOff>
    </xdr:from>
    <xdr:to>
      <xdr:col>2</xdr:col>
      <xdr:colOff>1752600</xdr:colOff>
      <xdr:row>26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484E84-1294-25DB-8508-91310305A518}"/>
            </a:ext>
          </a:extLst>
        </xdr:cNvPr>
        <xdr:cNvSpPr txBox="1"/>
      </xdr:nvSpPr>
      <xdr:spPr>
        <a:xfrm>
          <a:off x="137160" y="2804160"/>
          <a:ext cx="5273040" cy="2095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📊 </a:t>
          </a:r>
          <a:r>
            <a:rPr lang="en-IN" sz="1600" b="1"/>
            <a:t>Insights</a:t>
          </a:r>
        </a:p>
        <a:p>
          <a:r>
            <a:rPr lang="en-IN" sz="1200"/>
            <a:t>1️⃣ #NowPlaying is the Most Used Hashtag.</a:t>
          </a:r>
        </a:p>
        <a:p>
          <a:r>
            <a:rPr lang="en-IN" sz="1200"/>
            <a:t>2️⃣ Combination Hashtags Also Perform Well.</a:t>
          </a:r>
        </a:p>
        <a:p>
          <a:r>
            <a:rPr lang="en-IN" sz="1200"/>
            <a:t>3️⃣ #DiscoverWeekly Variations Perform Moderately.</a:t>
          </a:r>
        </a:p>
        <a:p>
          <a:r>
            <a:rPr lang="en-IN" sz="1200"/>
            <a:t>4️⃣ #DiscoverWeekly, #MusicForEveryone Has Lowest Engagement.</a:t>
          </a:r>
        </a:p>
        <a:p>
          <a:endParaRPr lang="en-IN" sz="1200"/>
        </a:p>
        <a:p>
          <a:r>
            <a:rPr lang="en-IN" sz="1600" b="1"/>
            <a:t>📌 Recommendations</a:t>
          </a:r>
        </a:p>
        <a:p>
          <a:r>
            <a:rPr lang="en-IN" sz="1200"/>
            <a:t>✅ 1. Focus More on #NowPlaying</a:t>
          </a:r>
        </a:p>
        <a:p>
          <a:r>
            <a:rPr lang="en-IN" sz="1200"/>
            <a:t>✅ 2. Use Strategic Hashtag Combinations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5</xdr:row>
      <xdr:rowOff>26670</xdr:rowOff>
    </xdr:from>
    <xdr:to>
      <xdr:col>14</xdr:col>
      <xdr:colOff>571500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08955-1A1E-53FC-3DCF-2F3CC2568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274320</xdr:colOff>
      <xdr:row>2</xdr:row>
      <xdr:rowOff>60960</xdr:rowOff>
    </xdr:from>
    <xdr:to>
      <xdr:col>21</xdr:col>
      <xdr:colOff>22860</xdr:colOff>
      <xdr:row>24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D745AB-A838-285D-A127-B48C06F009EE}"/>
            </a:ext>
          </a:extLst>
        </xdr:cNvPr>
        <xdr:cNvSpPr txBox="1"/>
      </xdr:nvSpPr>
      <xdr:spPr>
        <a:xfrm>
          <a:off x="11186160" y="426720"/>
          <a:ext cx="3406140" cy="41224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Insights</a:t>
          </a:r>
        </a:p>
        <a:p>
          <a:r>
            <a:rPr lang="en-IN" sz="1200" b="1"/>
            <a:t>🔹 1️⃣ Instagram</a:t>
          </a:r>
        </a:p>
        <a:p>
          <a:r>
            <a:rPr lang="en-IN" sz="1200"/>
            <a:t>✅ Instagram Stories generate the highest engagement.</a:t>
          </a:r>
          <a:br>
            <a:rPr lang="en-IN" sz="1200"/>
          </a:br>
          <a:r>
            <a:rPr lang="en-IN" sz="1200"/>
            <a:t>📌 Text performs comparatively lower.</a:t>
          </a:r>
        </a:p>
        <a:p>
          <a:r>
            <a:rPr lang="en-IN" sz="1200" b="1"/>
            <a:t>🔹 2️⃣ Twitter</a:t>
          </a:r>
        </a:p>
        <a:p>
          <a:r>
            <a:rPr lang="en-IN" sz="1200"/>
            <a:t>✅ Twitter has the strongest overall engagement.</a:t>
          </a:r>
          <a:br>
            <a:rPr lang="en-IN" sz="1200"/>
          </a:br>
          <a:r>
            <a:rPr lang="en-IN" sz="1200"/>
            <a:t>📌 Both Story and Text perform very well.</a:t>
          </a:r>
        </a:p>
        <a:p>
          <a:r>
            <a:rPr lang="en-IN" sz="1200" b="1"/>
            <a:t>🔹 3️⃣ YouTube</a:t>
          </a: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200"/>
            <a:t> YouTube engagement is lower compared to Instagram and Twitter.</a:t>
          </a:r>
          <a:br>
            <a:rPr lang="en-IN" sz="1200"/>
          </a:br>
          <a:r>
            <a:rPr lang="en-IN" sz="1200"/>
            <a:t>📌 Video/Reel content performs better than Text.</a:t>
          </a:r>
        </a:p>
        <a:p>
          <a:r>
            <a:rPr lang="en-IN" sz="1200"/>
            <a:t>✅ Story content is the most engaging format overall.</a:t>
          </a:r>
        </a:p>
        <a:p>
          <a:endParaRPr lang="en-IN" sz="1100"/>
        </a:p>
        <a:p>
          <a:r>
            <a:rPr lang="en-IN" sz="1600" b="1"/>
            <a:t>📌 Recommendations</a:t>
          </a:r>
        </a:p>
        <a:p>
          <a:r>
            <a:rPr lang="en-IN" sz="1200"/>
            <a:t>✅ 1. Focus More on Story Content</a:t>
          </a:r>
        </a:p>
        <a:p>
          <a:r>
            <a:rPr lang="en-IN" sz="1200"/>
            <a:t>✅ 2. Prioritize Twitter for Campaigns</a:t>
          </a:r>
        </a:p>
        <a:p>
          <a:r>
            <a:rPr lang="en-IN" sz="1200"/>
            <a:t>✅ 3. Use Video Strategy for YouTube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0.850684490739" createdVersion="8" refreshedVersion="8" minRefreshableVersion="3" recordCount="300" xr:uid="{69F1E648-404F-4EA0-A35D-E9DD321B27E9}">
  <cacheSource type="worksheet">
    <worksheetSource ref="A1:N301" sheet="Posts"/>
  </cacheSource>
  <cacheFields count="14">
    <cacheField name="Post ID" numFmtId="49">
      <sharedItems/>
    </cacheField>
    <cacheField name="Platform" numFmtId="49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 count="3">
        <s v="Text"/>
        <s v="Story"/>
        <s v="Reel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49">
      <sharedItems/>
    </cacheField>
    <cacheField name="Engagement Rate" numFmtId="2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s v="ChillVibes"/>
    <n v="0.13200509890939993"/>
  </r>
  <r>
    <s v="SP002"/>
    <x v="0"/>
    <d v="2025-02-01T00:00:00"/>
    <x v="0"/>
    <s v="Explore the latest podcasts now."/>
    <n v="1934"/>
    <n v="210"/>
    <n v="393"/>
    <n v="29129"/>
    <n v="73287"/>
    <n v="273"/>
    <x v="1"/>
    <s v="IndieWave"/>
    <n v="8.7095334546328396E-2"/>
  </r>
  <r>
    <s v="SP003"/>
    <x v="1"/>
    <d v="2024-12-03T00:00:00"/>
    <x v="1"/>
    <s v="New music just dropped. Hit play!"/>
    <n v="3092"/>
    <n v="177"/>
    <n v="81"/>
    <n v="47533"/>
    <n v="29220"/>
    <n v="121"/>
    <x v="2"/>
    <s v="ChillVibes"/>
    <n v="7.0477352576105018E-2"/>
  </r>
  <r>
    <s v="SP004"/>
    <x v="0"/>
    <d v="2024-12-03T00:00:00"/>
    <x v="0"/>
    <s v="Wrapped is here! Relive your top tracks ðŸŽ§"/>
    <n v="3173"/>
    <n v="229"/>
    <n v="197"/>
    <n v="29604"/>
    <n v="21809"/>
    <n v="272"/>
    <x v="0"/>
    <s v="ChillVibes"/>
    <n v="0.1215714092690177"/>
  </r>
  <r>
    <s v="SP005"/>
    <x v="2"/>
    <d v="2024-04-06T00:00:00"/>
    <x v="0"/>
    <s v="Music that moves youâ€”only on Spotify."/>
    <n v="2748"/>
    <n v="145"/>
    <n v="315"/>
    <n v="24401"/>
    <n v="61182"/>
    <n v="200"/>
    <x v="3"/>
    <s v="IndieWave"/>
    <n v="0.1314700217204213"/>
  </r>
  <r>
    <s v="SP006"/>
    <x v="2"/>
    <d v="2024-06-13T00:00:00"/>
    <x v="0"/>
    <s v="Whatâ€™s your vibe today? #SpotifyHits"/>
    <n v="3882"/>
    <n v="239"/>
    <n v="275"/>
    <n v="58748"/>
    <n v="44646"/>
    <n v="149"/>
    <x v="3"/>
    <s v="IndieWave"/>
    <n v="7.4828079253761837E-2"/>
  </r>
  <r>
    <s v="SP007"/>
    <x v="1"/>
    <d v="2024-12-19T00:00:00"/>
    <x v="1"/>
    <s v="Get into the groove with our new drop!"/>
    <n v="4674"/>
    <n v="409"/>
    <n v="327"/>
    <n v="20756"/>
    <n v="63599"/>
    <n v="212"/>
    <x v="0"/>
    <s v="ChillVibes"/>
    <n v="0.26064752360763155"/>
  </r>
  <r>
    <s v="SP008"/>
    <x v="1"/>
    <d v="2024-05-09T00:00:00"/>
    <x v="1"/>
    <s v="Wrapped is here! Relive your top tracks ðŸŽ§"/>
    <n v="1428"/>
    <n v="347"/>
    <n v="67"/>
    <n v="21148"/>
    <n v="19712"/>
    <n v="120"/>
    <x v="4"/>
    <s v="ChillVibes"/>
    <n v="8.7100435029317191E-2"/>
  </r>
  <r>
    <s v="SP009"/>
    <x v="1"/>
    <d v="2025-06-15T00:00:00"/>
    <x v="0"/>
    <s v="Top trending tracks updated daily!"/>
    <n v="4432"/>
    <n v="223"/>
    <n v="299"/>
    <n v="59016"/>
    <n v="21742"/>
    <n v="171"/>
    <x v="5"/>
    <s v="ChillVibes"/>
    <n v="8.3943337400027115E-2"/>
  </r>
  <r>
    <s v="SP010"/>
    <x v="1"/>
    <d v="2024-12-04T00:00:00"/>
    <x v="0"/>
    <s v="Wrapped is here! Relive your top tracks ðŸŽ§"/>
    <n v="2357"/>
    <n v="274"/>
    <n v="172"/>
    <n v="21566"/>
    <n v="66829"/>
    <n v="284"/>
    <x v="5"/>
    <s v="ChillVibes"/>
    <n v="0.12997310581470833"/>
  </r>
  <r>
    <s v="SP011"/>
    <x v="1"/>
    <d v="2024-03-06T00:00:00"/>
    <x v="0"/>
    <s v="Discover fresh beats on Spotify!"/>
    <n v="1971"/>
    <n v="370"/>
    <n v="306"/>
    <n v="31316"/>
    <n v="27897"/>
    <n v="88"/>
    <x v="6"/>
    <s v="IndieWave"/>
    <n v="8.4525482181632389E-2"/>
  </r>
  <r>
    <s v="SP012"/>
    <x v="0"/>
    <d v="2024-05-14T00:00:00"/>
    <x v="0"/>
    <s v="Discover fresh beats on Spotify!"/>
    <n v="1485"/>
    <n v="353"/>
    <n v="244"/>
    <n v="38419"/>
    <n v="38556"/>
    <n v="86"/>
    <x v="0"/>
    <s v="ChillVibes"/>
    <n v="5.4191936281527367E-2"/>
  </r>
  <r>
    <s v="SP013"/>
    <x v="1"/>
    <d v="2025-06-18T00:00:00"/>
    <x v="1"/>
    <s v="Discover fresh beats on Spotify!"/>
    <n v="3956"/>
    <n v="319"/>
    <n v="61"/>
    <n v="58162"/>
    <n v="28720"/>
    <n v="213"/>
    <x v="2"/>
    <s v="ChillVibes"/>
    <n v="7.4550393727863554E-2"/>
  </r>
  <r>
    <s v="SP014"/>
    <x v="1"/>
    <d v="2024-10-08T00:00:00"/>
    <x v="0"/>
    <s v="From pop to podcasts, itâ€™s all here."/>
    <n v="2460"/>
    <n v="409"/>
    <n v="253"/>
    <n v="36702"/>
    <n v="46122"/>
    <n v="264"/>
    <x v="5"/>
    <s v="ChillVibes"/>
    <n v="8.5063484278785892E-2"/>
  </r>
  <r>
    <s v="SP015"/>
    <x v="1"/>
    <d v="2024-05-06T00:00:00"/>
    <x v="0"/>
    <s v="Your weekend playlist is waiting."/>
    <n v="3476"/>
    <n v="355"/>
    <n v="396"/>
    <n v="37492"/>
    <n v="27285"/>
    <n v="179"/>
    <x v="5"/>
    <s v="ChillVibes"/>
    <n v="0.11274405206444041"/>
  </r>
  <r>
    <s v="SP016"/>
    <x v="1"/>
    <d v="2024-12-29T00:00:00"/>
    <x v="1"/>
    <s v="New music just dropped. Hit play!"/>
    <n v="4049"/>
    <n v="377"/>
    <n v="94"/>
    <n v="48182"/>
    <n v="42875"/>
    <n v="172"/>
    <x v="2"/>
    <s v="ChillVibes"/>
    <n v="9.3810966751068869E-2"/>
  </r>
  <r>
    <s v="SP017"/>
    <x v="1"/>
    <d v="2024-06-10T00:00:00"/>
    <x v="0"/>
    <s v="Whatâ€™s your vibe today? #SpotifyHits"/>
    <n v="1514"/>
    <n v="164"/>
    <n v="275"/>
    <n v="41364"/>
    <n v="44389"/>
    <n v="83"/>
    <x v="5"/>
    <s v="ChillVibes"/>
    <n v="4.7214969538729328E-2"/>
  </r>
  <r>
    <s v="SP018"/>
    <x v="0"/>
    <d v="2024-02-03T00:00:00"/>
    <x v="1"/>
    <s v="Music that moves youâ€”only on Spotify."/>
    <n v="4281"/>
    <n v="101"/>
    <n v="163"/>
    <n v="32278"/>
    <n v="53382"/>
    <n v="235"/>
    <x v="5"/>
    <s v="Wrapped2024"/>
    <n v="0.1408079806679472"/>
  </r>
  <r>
    <s v="SP019"/>
    <x v="2"/>
    <d v="2024-06-15T00:00:00"/>
    <x v="2"/>
    <s v="Get into the groove with our new drop!"/>
    <n v="1751"/>
    <n v="143"/>
    <n v="151"/>
    <n v="31826"/>
    <n v="47729"/>
    <n v="95"/>
    <x v="7"/>
    <s v="SummerBeats"/>
    <n v="6.4255640042732362E-2"/>
  </r>
  <r>
    <s v="SP020"/>
    <x v="0"/>
    <d v="2024-07-05T00:00:00"/>
    <x v="0"/>
    <s v="Your weekend playlist is waiting."/>
    <n v="3753"/>
    <n v="411"/>
    <n v="308"/>
    <n v="29138"/>
    <n v="27678"/>
    <n v="90"/>
    <x v="1"/>
    <s v="IndieWave"/>
    <n v="0.15347655981879332"/>
  </r>
  <r>
    <s v="SP021"/>
    <x v="0"/>
    <d v="2024-11-07T00:00:00"/>
    <x v="1"/>
    <s v="Wrapped is here! Relive your top tracks ðŸŽ§"/>
    <n v="1678"/>
    <n v="423"/>
    <n v="323"/>
    <n v="55668"/>
    <n v="37945"/>
    <n v="230"/>
    <x v="5"/>
    <s v="Wrapped2024"/>
    <n v="4.3543867212761371E-2"/>
  </r>
  <r>
    <s v="SP022"/>
    <x v="0"/>
    <d v="2025-06-15T00:00:00"/>
    <x v="0"/>
    <s v="Whatâ€™s your vibe today? #SpotifyHits"/>
    <n v="4896"/>
    <n v="466"/>
    <n v="233"/>
    <n v="28621"/>
    <n v="34270"/>
    <n v="84"/>
    <x v="0"/>
    <s v="ChillVibes"/>
    <n v="0.19548583208133888"/>
  </r>
  <r>
    <s v="SP023"/>
    <x v="2"/>
    <d v="2024-06-09T00:00:00"/>
    <x v="2"/>
    <s v="From pop to podcasts, itâ€™s all here."/>
    <n v="2786"/>
    <n v="368"/>
    <n v="208"/>
    <n v="42000"/>
    <n v="39967"/>
    <n v="103"/>
    <x v="7"/>
    <s v="SummerBeats"/>
    <n v="8.0047619047619048E-2"/>
  </r>
  <r>
    <s v="SP024"/>
    <x v="1"/>
    <d v="2024-10-18T00:00:00"/>
    <x v="0"/>
    <s v="New music just dropped. Hit play!"/>
    <n v="2607"/>
    <n v="379"/>
    <n v="180"/>
    <n v="28712"/>
    <n v="61620"/>
    <n v="174"/>
    <x v="6"/>
    <s v="IndieWave"/>
    <n v="0.11026748397882419"/>
  </r>
  <r>
    <s v="SP025"/>
    <x v="2"/>
    <d v="2024-10-10T00:00:00"/>
    <x v="2"/>
    <s v="From pop to podcasts, itâ€™s all here."/>
    <n v="4013"/>
    <n v="320"/>
    <n v="92"/>
    <n v="54605"/>
    <n v="60169"/>
    <n v="232"/>
    <x v="7"/>
    <s v="SummerBeats"/>
    <n v="8.1036535115831879E-2"/>
  </r>
  <r>
    <s v="SP026"/>
    <x v="1"/>
    <d v="2025-05-14T00:00:00"/>
    <x v="1"/>
    <s v="From pop to podcasts, itâ€™s all here."/>
    <n v="2707"/>
    <n v="103"/>
    <n v="51"/>
    <n v="55302"/>
    <n v="18801"/>
    <n v="147"/>
    <x v="4"/>
    <s v="ChillVibes"/>
    <n v="5.173411449857148E-2"/>
  </r>
  <r>
    <s v="SP027"/>
    <x v="0"/>
    <d v="2024-11-29T00:00:00"/>
    <x v="0"/>
    <s v="Whatâ€™s your vibe today? #SpotifyHits"/>
    <n v="2824"/>
    <n v="425"/>
    <n v="274"/>
    <n v="31004"/>
    <n v="53488"/>
    <n v="268"/>
    <x v="0"/>
    <s v="ChillVibes"/>
    <n v="0.11363049929041415"/>
  </r>
  <r>
    <s v="SP028"/>
    <x v="2"/>
    <d v="2024-03-05T00:00:00"/>
    <x v="2"/>
    <s v="Explore the latest podcasts now."/>
    <n v="3558"/>
    <n v="314"/>
    <n v="199"/>
    <n v="49612"/>
    <n v="53929"/>
    <n v="206"/>
    <x v="7"/>
    <s v="SummerBeats"/>
    <n v="8.205676046117874E-2"/>
  </r>
  <r>
    <s v="SP029"/>
    <x v="1"/>
    <d v="2025-03-18T00:00:00"/>
    <x v="1"/>
    <s v="Explore the latest podcasts now."/>
    <n v="3418"/>
    <n v="188"/>
    <n v="387"/>
    <n v="57431"/>
    <n v="36933"/>
    <n v="202"/>
    <x v="2"/>
    <s v="ChillVibes"/>
    <n v="6.9526910553533799E-2"/>
  </r>
  <r>
    <s v="SP030"/>
    <x v="1"/>
    <d v="2025-04-26T00:00:00"/>
    <x v="0"/>
    <s v="Discover fresh beats on Spotify!"/>
    <n v="2411"/>
    <n v="194"/>
    <n v="168"/>
    <n v="26665"/>
    <n v="71699"/>
    <n v="197"/>
    <x v="5"/>
    <s v="ChillVibes"/>
    <n v="0.10399399962497656"/>
  </r>
  <r>
    <s v="SP031"/>
    <x v="0"/>
    <d v="2025-01-01T00:00:00"/>
    <x v="0"/>
    <s v="New music just dropped. Hit play!"/>
    <n v="4036"/>
    <n v="112"/>
    <n v="382"/>
    <n v="56284"/>
    <n v="29440"/>
    <n v="279"/>
    <x v="0"/>
    <s v="ChillVibes"/>
    <n v="8.0484684812735408E-2"/>
  </r>
  <r>
    <s v="SP032"/>
    <x v="1"/>
    <d v="2024-05-07T00:00:00"/>
    <x v="1"/>
    <s v="Explore the latest podcasts now."/>
    <n v="2776"/>
    <n v="307"/>
    <n v="178"/>
    <n v="43365"/>
    <n v="48408"/>
    <n v="138"/>
    <x v="0"/>
    <s v="ChillVibes"/>
    <n v="7.519889311656866E-2"/>
  </r>
  <r>
    <s v="SP033"/>
    <x v="1"/>
    <d v="2024-10-09T00:00:00"/>
    <x v="1"/>
    <s v="Discover fresh beats on Spotify!"/>
    <n v="4929"/>
    <n v="182"/>
    <n v="95"/>
    <n v="32181"/>
    <n v="31084"/>
    <n v="289"/>
    <x v="4"/>
    <s v="ChillVibes"/>
    <n v="0.16177247444144061"/>
  </r>
  <r>
    <s v="SP034"/>
    <x v="0"/>
    <d v="2025-01-09T00:00:00"/>
    <x v="0"/>
    <s v="New music just dropped. Hit play!"/>
    <n v="1015"/>
    <n v="366"/>
    <n v="308"/>
    <n v="38127"/>
    <n v="63790"/>
    <n v="287"/>
    <x v="0"/>
    <s v="ChillVibes"/>
    <n v="4.4299315445747112E-2"/>
  </r>
  <r>
    <s v="SP035"/>
    <x v="1"/>
    <d v="2025-05-08T00:00:00"/>
    <x v="1"/>
    <s v="Your weekend playlist is waiting."/>
    <n v="3316"/>
    <n v="332"/>
    <n v="268"/>
    <n v="40095"/>
    <n v="36913"/>
    <n v="265"/>
    <x v="2"/>
    <s v="ChillVibes"/>
    <n v="9.7668038408779148E-2"/>
  </r>
  <r>
    <s v="SP036"/>
    <x v="0"/>
    <d v="2024-05-04T00:00:00"/>
    <x v="0"/>
    <s v="Wrapped is here! Relive your top tracks ðŸŽ§"/>
    <n v="2274"/>
    <n v="243"/>
    <n v="222"/>
    <n v="43066"/>
    <n v="59174"/>
    <n v="80"/>
    <x v="1"/>
    <s v="IndieWave"/>
    <n v="6.3600055728416843E-2"/>
  </r>
  <r>
    <s v="SP037"/>
    <x v="1"/>
    <d v="2025-05-27T00:00:00"/>
    <x v="1"/>
    <s v="Explore the latest podcasts now."/>
    <n v="4095"/>
    <n v="385"/>
    <n v="400"/>
    <n v="45300"/>
    <n v="31795"/>
    <n v="80"/>
    <x v="2"/>
    <s v="ChillVibes"/>
    <n v="0.10772626931567329"/>
  </r>
  <r>
    <s v="SP038"/>
    <x v="0"/>
    <d v="2024-09-10T00:00:00"/>
    <x v="1"/>
    <s v="New music just dropped. Hit play!"/>
    <n v="1230"/>
    <n v="309"/>
    <n v="207"/>
    <n v="44629"/>
    <n v="40699"/>
    <n v="195"/>
    <x v="5"/>
    <s v="Wrapped2024"/>
    <n v="3.9122543637545096E-2"/>
  </r>
  <r>
    <s v="SP039"/>
    <x v="0"/>
    <d v="2024-11-25T00:00:00"/>
    <x v="0"/>
    <s v="From pop to podcasts, itâ€™s all here."/>
    <n v="1341"/>
    <n v="472"/>
    <n v="238"/>
    <n v="51386"/>
    <n v="51706"/>
    <n v="133"/>
    <x v="1"/>
    <s v="IndieWave"/>
    <n v="3.9913595142645857E-2"/>
  </r>
  <r>
    <s v="SP040"/>
    <x v="1"/>
    <d v="2025-06-10T00:00:00"/>
    <x v="0"/>
    <s v="Explore the latest podcasts now."/>
    <n v="3615"/>
    <n v="192"/>
    <n v="162"/>
    <n v="27492"/>
    <n v="35341"/>
    <n v="125"/>
    <x v="5"/>
    <s v="ChillVibes"/>
    <n v="0.14436927106067218"/>
  </r>
  <r>
    <s v="SP041"/>
    <x v="0"/>
    <d v="2024-04-19T00:00:00"/>
    <x v="0"/>
    <s v="New music just dropped. Hit play!"/>
    <n v="4001"/>
    <n v="353"/>
    <n v="129"/>
    <n v="41265"/>
    <n v="37279"/>
    <n v="275"/>
    <x v="0"/>
    <s v="ChillVibes"/>
    <n v="0.10863928268508422"/>
  </r>
  <r>
    <s v="SP042"/>
    <x v="0"/>
    <d v="2025-01-26T00:00:00"/>
    <x v="1"/>
    <s v="Whatâ€™s your vibe today? #SpotifyHits"/>
    <n v="3451"/>
    <n v="363"/>
    <n v="393"/>
    <n v="44853"/>
    <n v="69032"/>
    <n v="211"/>
    <x v="5"/>
    <s v="Wrapped2024"/>
    <n v="9.379528682585335E-2"/>
  </r>
  <r>
    <s v="SP043"/>
    <x v="0"/>
    <d v="2025-02-14T00:00:00"/>
    <x v="0"/>
    <s v="Top trending tracks updated daily!"/>
    <n v="4891"/>
    <n v="450"/>
    <n v="387"/>
    <n v="48746"/>
    <n v="37312"/>
    <n v="154"/>
    <x v="0"/>
    <s v="ChillVibes"/>
    <n v="0.11750707750379519"/>
  </r>
  <r>
    <s v="SP044"/>
    <x v="0"/>
    <d v="2024-09-06T00:00:00"/>
    <x v="0"/>
    <s v="New music just dropped. Hit play!"/>
    <n v="1452"/>
    <n v="281"/>
    <n v="326"/>
    <n v="51556"/>
    <n v="62599"/>
    <n v="290"/>
    <x v="1"/>
    <s v="IndieWave"/>
    <n v="3.9937155714174881E-2"/>
  </r>
  <r>
    <s v="SP045"/>
    <x v="2"/>
    <d v="2024-07-14T00:00:00"/>
    <x v="0"/>
    <s v="Your weekend playlist is waiting."/>
    <n v="3806"/>
    <n v="114"/>
    <n v="278"/>
    <n v="36148"/>
    <n v="24209"/>
    <n v="201"/>
    <x v="3"/>
    <s v="IndieWave"/>
    <n v="0.11613367267898639"/>
  </r>
  <r>
    <s v="SP046"/>
    <x v="0"/>
    <d v="2024-02-12T00:00:00"/>
    <x v="0"/>
    <s v="Explore the latest podcasts now."/>
    <n v="2923"/>
    <n v="330"/>
    <n v="250"/>
    <n v="23993"/>
    <n v="74590"/>
    <n v="92"/>
    <x v="1"/>
    <s v="IndieWave"/>
    <n v="0.14600091693410577"/>
  </r>
  <r>
    <s v="SP047"/>
    <x v="2"/>
    <d v="2024-03-14T00:00:00"/>
    <x v="2"/>
    <s v="From pop to podcasts, itâ€™s all here."/>
    <n v="3361"/>
    <n v="188"/>
    <n v="358"/>
    <n v="39838"/>
    <n v="24536"/>
    <n v="120"/>
    <x v="7"/>
    <s v="SummerBeats"/>
    <n v="9.8072192379135503E-2"/>
  </r>
  <r>
    <s v="SP048"/>
    <x v="0"/>
    <d v="2025-02-05T00:00:00"/>
    <x v="1"/>
    <s v="Music that moves youâ€”only on Spotify."/>
    <n v="3074"/>
    <n v="371"/>
    <n v="348"/>
    <n v="24104"/>
    <n v="57803"/>
    <n v="213"/>
    <x v="5"/>
    <s v="Wrapped2024"/>
    <n v="0.15735977431131762"/>
  </r>
  <r>
    <s v="SP049"/>
    <x v="1"/>
    <d v="2024-08-29T00:00:00"/>
    <x v="1"/>
    <s v="Get into the groove with our new drop!"/>
    <n v="4276"/>
    <n v="227"/>
    <n v="223"/>
    <n v="43443"/>
    <n v="41005"/>
    <n v="191"/>
    <x v="4"/>
    <s v="ChillVibes"/>
    <n v="0.1087862256289851"/>
  </r>
  <r>
    <s v="SP050"/>
    <x v="1"/>
    <d v="2025-04-22T00:00:00"/>
    <x v="0"/>
    <s v="Discover fresh beats on Spotify!"/>
    <n v="4401"/>
    <n v="421"/>
    <n v="216"/>
    <n v="24890"/>
    <n v="54361"/>
    <n v="148"/>
    <x v="5"/>
    <s v="ChillVibes"/>
    <n v="0.20241060666934513"/>
  </r>
  <r>
    <s v="SP051"/>
    <x v="2"/>
    <d v="2024-05-13T00:00:00"/>
    <x v="2"/>
    <s v="Explore the latest podcasts now."/>
    <n v="4161"/>
    <n v="481"/>
    <n v="61"/>
    <n v="45884"/>
    <n v="48955"/>
    <n v="215"/>
    <x v="7"/>
    <s v="SummerBeats"/>
    <n v="0.10249760265016128"/>
  </r>
  <r>
    <s v="SP052"/>
    <x v="1"/>
    <d v="2024-09-04T00:00:00"/>
    <x v="1"/>
    <s v="New music just dropped. Hit play!"/>
    <n v="2613"/>
    <n v="455"/>
    <n v="228"/>
    <n v="21645"/>
    <n v="61334"/>
    <n v="261"/>
    <x v="4"/>
    <s v="ChillVibes"/>
    <n v="0.15227535227535227"/>
  </r>
  <r>
    <s v="SP053"/>
    <x v="1"/>
    <d v="2024-08-12T00:00:00"/>
    <x v="1"/>
    <s v="Whatâ€™s your vibe today? #SpotifyHits"/>
    <n v="2842"/>
    <n v="213"/>
    <n v="331"/>
    <n v="57660"/>
    <n v="68606"/>
    <n v="87"/>
    <x v="2"/>
    <s v="ChillVibes"/>
    <n v="5.8723551855705859E-2"/>
  </r>
  <r>
    <s v="SP054"/>
    <x v="0"/>
    <d v="2025-03-06T00:00:00"/>
    <x v="0"/>
    <s v="Get into the groove with our new drop!"/>
    <n v="4851"/>
    <n v="460"/>
    <n v="212"/>
    <n v="58075"/>
    <n v="59574"/>
    <n v="239"/>
    <x v="1"/>
    <s v="IndieWave"/>
    <n v="9.5101162290142052E-2"/>
  </r>
  <r>
    <s v="SP055"/>
    <x v="1"/>
    <d v="2024-05-08T00:00:00"/>
    <x v="0"/>
    <s v="Explore the latest podcasts now."/>
    <n v="1828"/>
    <n v="450"/>
    <n v="214"/>
    <n v="52115"/>
    <n v="19166"/>
    <n v="190"/>
    <x v="5"/>
    <s v="ChillVibes"/>
    <n v="4.781732706514439E-2"/>
  </r>
  <r>
    <s v="SP056"/>
    <x v="0"/>
    <d v="2025-02-19T00:00:00"/>
    <x v="1"/>
    <s v="From pop to podcasts, itâ€™s all here."/>
    <n v="2422"/>
    <n v="455"/>
    <n v="376"/>
    <n v="23428"/>
    <n v="46775"/>
    <n v="259"/>
    <x v="5"/>
    <s v="Wrapped2024"/>
    <n v="0.13885094758408742"/>
  </r>
  <r>
    <s v="SP057"/>
    <x v="0"/>
    <d v="2024-01-08T00:00:00"/>
    <x v="0"/>
    <s v="Top trending tracks updated daily!"/>
    <n v="2683"/>
    <n v="405"/>
    <n v="223"/>
    <n v="31233"/>
    <n v="58106"/>
    <n v="291"/>
    <x v="1"/>
    <s v="IndieWave"/>
    <n v="0.10600966926007749"/>
  </r>
  <r>
    <s v="SP058"/>
    <x v="2"/>
    <d v="2024-07-17T00:00:00"/>
    <x v="0"/>
    <s v="Top trending tracks updated daily!"/>
    <n v="3135"/>
    <n v="110"/>
    <n v="215"/>
    <n v="39192"/>
    <n v="24744"/>
    <n v="177"/>
    <x v="3"/>
    <s v="IndieWave"/>
    <n v="8.8283323127168814E-2"/>
  </r>
  <r>
    <s v="SP059"/>
    <x v="2"/>
    <d v="2024-08-10T00:00:00"/>
    <x v="0"/>
    <s v="From pop to podcasts, itâ€™s all here."/>
    <n v="1105"/>
    <n v="181"/>
    <n v="55"/>
    <n v="53581"/>
    <n v="74048"/>
    <n v="220"/>
    <x v="3"/>
    <s v="IndieWave"/>
    <n v="2.50275284149232E-2"/>
  </r>
  <r>
    <s v="SP060"/>
    <x v="2"/>
    <d v="2024-04-16T00:00:00"/>
    <x v="0"/>
    <s v="Discover fresh beats on Spotify!"/>
    <n v="4674"/>
    <n v="326"/>
    <n v="62"/>
    <n v="45503"/>
    <n v="46814"/>
    <n v="116"/>
    <x v="3"/>
    <s v="IndieWave"/>
    <n v="0.11124541239039185"/>
  </r>
  <r>
    <s v="SP061"/>
    <x v="2"/>
    <d v="2024-01-01T00:00:00"/>
    <x v="2"/>
    <s v="Explore the latest podcasts now."/>
    <n v="3437"/>
    <n v="129"/>
    <n v="359"/>
    <n v="44558"/>
    <n v="30854"/>
    <n v="171"/>
    <x v="7"/>
    <s v="SummerBeats"/>
    <n v="8.8087436599488311E-2"/>
  </r>
  <r>
    <s v="SP062"/>
    <x v="1"/>
    <d v="2024-11-03T00:00:00"/>
    <x v="1"/>
    <s v="Wrapped is here! Relive your top tracks ðŸŽ§"/>
    <n v="1959"/>
    <n v="316"/>
    <n v="82"/>
    <n v="54036"/>
    <n v="69015"/>
    <n v="182"/>
    <x v="2"/>
    <s v="ChillVibes"/>
    <n v="4.3619068768968837E-2"/>
  </r>
  <r>
    <s v="SP063"/>
    <x v="1"/>
    <d v="2024-07-07T00:00:00"/>
    <x v="0"/>
    <s v="New music just dropped. Hit play!"/>
    <n v="1035"/>
    <n v="137"/>
    <n v="184"/>
    <n v="37302"/>
    <n v="68953"/>
    <n v="237"/>
    <x v="6"/>
    <s v="IndieWave"/>
    <n v="3.6351938233874857E-2"/>
  </r>
  <r>
    <s v="SP064"/>
    <x v="1"/>
    <d v="2025-01-22T00:00:00"/>
    <x v="1"/>
    <s v="New music just dropped. Hit play!"/>
    <n v="4478"/>
    <n v="101"/>
    <n v="121"/>
    <n v="51035"/>
    <n v="58207"/>
    <n v="205"/>
    <x v="2"/>
    <s v="ChillVibes"/>
    <n v="9.2093661212893113E-2"/>
  </r>
  <r>
    <s v="SP065"/>
    <x v="2"/>
    <d v="2024-05-26T00:00:00"/>
    <x v="0"/>
    <s v="From pop to podcasts, itâ€™s all here."/>
    <n v="1488"/>
    <n v="327"/>
    <n v="110"/>
    <n v="53805"/>
    <n v="30239"/>
    <n v="109"/>
    <x v="3"/>
    <s v="IndieWave"/>
    <n v="3.5777344113000653E-2"/>
  </r>
  <r>
    <s v="SP066"/>
    <x v="0"/>
    <d v="2025-04-16T00:00:00"/>
    <x v="0"/>
    <s v="Wrapped is here! Relive your top tracks ðŸŽ§"/>
    <n v="4836"/>
    <n v="331"/>
    <n v="140"/>
    <n v="58792"/>
    <n v="47711"/>
    <n v="227"/>
    <x v="0"/>
    <s v="ChillVibes"/>
    <n v="9.0267383317458164E-2"/>
  </r>
  <r>
    <s v="SP067"/>
    <x v="2"/>
    <d v="2024-04-02T00:00:00"/>
    <x v="2"/>
    <s v="Your weekend playlist is waiting."/>
    <n v="4563"/>
    <n v="488"/>
    <n v="356"/>
    <n v="30619"/>
    <n v="23328"/>
    <n v="267"/>
    <x v="7"/>
    <s v="SummerBeats"/>
    <n v="0.17658969920637513"/>
  </r>
  <r>
    <s v="SP068"/>
    <x v="1"/>
    <d v="2024-03-28T00:00:00"/>
    <x v="0"/>
    <s v="Music that moves youâ€”only on Spotify."/>
    <n v="3276"/>
    <n v="421"/>
    <n v="114"/>
    <n v="20580"/>
    <n v="30324"/>
    <n v="221"/>
    <x v="6"/>
    <s v="IndieWave"/>
    <n v="0.18517978620019437"/>
  </r>
  <r>
    <s v="SP069"/>
    <x v="1"/>
    <d v="2024-12-17T00:00:00"/>
    <x v="1"/>
    <s v="Music that moves youâ€”only on Spotify."/>
    <n v="1316"/>
    <n v="472"/>
    <n v="286"/>
    <n v="44692"/>
    <n v="53343"/>
    <n v="227"/>
    <x v="4"/>
    <s v="ChillVibes"/>
    <n v="4.6406515707509172E-2"/>
  </r>
  <r>
    <s v="SP070"/>
    <x v="1"/>
    <d v="2025-01-05T00:00:00"/>
    <x v="0"/>
    <s v="Wrapped is here! Relive your top tracks ðŸŽ§"/>
    <n v="4811"/>
    <n v="473"/>
    <n v="254"/>
    <n v="51964"/>
    <n v="68795"/>
    <n v="107"/>
    <x v="5"/>
    <s v="ChillVibes"/>
    <n v="0.10657378184897237"/>
  </r>
  <r>
    <s v="SP071"/>
    <x v="1"/>
    <d v="2024-01-11T00:00:00"/>
    <x v="0"/>
    <s v="Whatâ€™s your vibe today? #SpotifyHits"/>
    <n v="4218"/>
    <n v="247"/>
    <n v="183"/>
    <n v="28914"/>
    <n v="18310"/>
    <n v="135"/>
    <x v="6"/>
    <s v="IndieWave"/>
    <n v="0.1607525766064882"/>
  </r>
  <r>
    <s v="SP072"/>
    <x v="0"/>
    <d v="2024-10-11T00:00:00"/>
    <x v="0"/>
    <s v="From pop to podcasts, itâ€™s all here."/>
    <n v="1360"/>
    <n v="249"/>
    <n v="52"/>
    <n v="20368"/>
    <n v="42152"/>
    <n v="193"/>
    <x v="1"/>
    <s v="IndieWave"/>
    <n v="8.1549489395129612E-2"/>
  </r>
  <r>
    <s v="SP073"/>
    <x v="2"/>
    <d v="2025-05-06T00:00:00"/>
    <x v="2"/>
    <s v="Discover fresh beats on Spotify!"/>
    <n v="1085"/>
    <n v="496"/>
    <n v="320"/>
    <n v="36528"/>
    <n v="38599"/>
    <n v="270"/>
    <x v="7"/>
    <s v="SummerBeats"/>
    <n v="5.2042268944371438E-2"/>
  </r>
  <r>
    <s v="SP074"/>
    <x v="1"/>
    <d v="2024-05-19T00:00:00"/>
    <x v="1"/>
    <s v="Get into the groove with our new drop!"/>
    <n v="1763"/>
    <n v="206"/>
    <n v="187"/>
    <n v="53342"/>
    <n v="25095"/>
    <n v="88"/>
    <x v="4"/>
    <s v="ChillVibes"/>
    <n v="4.0418432004799221E-2"/>
  </r>
  <r>
    <s v="SP075"/>
    <x v="1"/>
    <d v="2024-01-22T00:00:00"/>
    <x v="1"/>
    <s v="From pop to podcasts, itâ€™s all here."/>
    <n v="1554"/>
    <n v="455"/>
    <n v="158"/>
    <n v="41947"/>
    <n v="48578"/>
    <n v="101"/>
    <x v="0"/>
    <s v="ChillVibes"/>
    <n v="5.1660428636136076E-2"/>
  </r>
  <r>
    <s v="SP076"/>
    <x v="0"/>
    <d v="2024-07-14T00:00:00"/>
    <x v="0"/>
    <s v="Wrapped is here! Relive your top tracks ðŸŽ§"/>
    <n v="2464"/>
    <n v="401"/>
    <n v="78"/>
    <n v="38665"/>
    <n v="73593"/>
    <n v="207"/>
    <x v="1"/>
    <s v="IndieWave"/>
    <n v="7.611534979956032E-2"/>
  </r>
  <r>
    <s v="SP077"/>
    <x v="1"/>
    <d v="2025-05-28T00:00:00"/>
    <x v="0"/>
    <s v="From pop to podcasts, itâ€™s all here."/>
    <n v="2418"/>
    <n v="161"/>
    <n v="360"/>
    <n v="30589"/>
    <n v="41383"/>
    <n v="88"/>
    <x v="5"/>
    <s v="ChillVibes"/>
    <n v="9.6080290300434801E-2"/>
  </r>
  <r>
    <s v="SP078"/>
    <x v="1"/>
    <d v="2025-01-21T00:00:00"/>
    <x v="1"/>
    <s v="Discover fresh beats on Spotify!"/>
    <n v="2494"/>
    <n v="494"/>
    <n v="55"/>
    <n v="22580"/>
    <n v="22214"/>
    <n v="109"/>
    <x v="2"/>
    <s v="ChillVibes"/>
    <n v="0.13476527900797167"/>
  </r>
  <r>
    <s v="SP079"/>
    <x v="2"/>
    <d v="2024-01-13T00:00:00"/>
    <x v="2"/>
    <s v="New music just dropped. Hit play!"/>
    <n v="4781"/>
    <n v="191"/>
    <n v="122"/>
    <n v="35535"/>
    <n v="50777"/>
    <n v="128"/>
    <x v="7"/>
    <s v="SummerBeats"/>
    <n v="0.14335162515829464"/>
  </r>
  <r>
    <s v="SP080"/>
    <x v="0"/>
    <d v="2025-06-17T00:00:00"/>
    <x v="0"/>
    <s v="Music that moves youâ€”only on Spotify."/>
    <n v="2284"/>
    <n v="187"/>
    <n v="260"/>
    <n v="37400"/>
    <n v="65014"/>
    <n v="157"/>
    <x v="0"/>
    <s v="ChillVibes"/>
    <n v="7.3021390374331557E-2"/>
  </r>
  <r>
    <s v="SP081"/>
    <x v="1"/>
    <d v="2025-03-07T00:00:00"/>
    <x v="0"/>
    <s v="Get into the groove with our new drop!"/>
    <n v="4234"/>
    <n v="486"/>
    <n v="276"/>
    <n v="56623"/>
    <n v="41343"/>
    <n v="184"/>
    <x v="6"/>
    <s v="IndieWave"/>
    <n v="8.8232696960599044E-2"/>
  </r>
  <r>
    <s v="SP082"/>
    <x v="0"/>
    <d v="2024-08-26T00:00:00"/>
    <x v="0"/>
    <s v="Your weekend playlist is waiting."/>
    <n v="2102"/>
    <n v="181"/>
    <n v="306"/>
    <n v="43650"/>
    <n v="50079"/>
    <n v="182"/>
    <x v="1"/>
    <s v="IndieWave"/>
    <n v="5.9312714776632303E-2"/>
  </r>
  <r>
    <s v="SP083"/>
    <x v="1"/>
    <d v="2025-01-03T00:00:00"/>
    <x v="1"/>
    <s v="Get into the groove with our new drop!"/>
    <n v="4845"/>
    <n v="158"/>
    <n v="84"/>
    <n v="34578"/>
    <n v="51480"/>
    <n v="180"/>
    <x v="0"/>
    <s v="ChillVibes"/>
    <n v="0.1471166637746544"/>
  </r>
  <r>
    <s v="SP084"/>
    <x v="1"/>
    <d v="2024-08-03T00:00:00"/>
    <x v="0"/>
    <s v="Your weekend playlist is waiting."/>
    <n v="4247"/>
    <n v="390"/>
    <n v="213"/>
    <n v="29785"/>
    <n v="57768"/>
    <n v="122"/>
    <x v="5"/>
    <s v="ChillVibes"/>
    <n v="0.16283364109451065"/>
  </r>
  <r>
    <s v="SP085"/>
    <x v="0"/>
    <d v="2024-08-18T00:00:00"/>
    <x v="0"/>
    <s v="Explore the latest podcasts now."/>
    <n v="2965"/>
    <n v="328"/>
    <n v="171"/>
    <n v="57685"/>
    <n v="67536"/>
    <n v="264"/>
    <x v="0"/>
    <s v="ChillVibes"/>
    <n v="6.0050273034584378E-2"/>
  </r>
  <r>
    <s v="SP086"/>
    <x v="1"/>
    <d v="2025-05-14T00:00:00"/>
    <x v="1"/>
    <s v="Wrapped is here! Relive your top tracks ðŸŽ§"/>
    <n v="1371"/>
    <n v="139"/>
    <n v="96"/>
    <n v="36140"/>
    <n v="39395"/>
    <n v="169"/>
    <x v="0"/>
    <s v="ChillVibes"/>
    <n v="4.4438295517432211E-2"/>
  </r>
  <r>
    <s v="SP087"/>
    <x v="1"/>
    <d v="2024-04-23T00:00:00"/>
    <x v="1"/>
    <s v="Discover fresh beats on Spotify!"/>
    <n v="2683"/>
    <n v="496"/>
    <n v="89"/>
    <n v="53435"/>
    <n v="30334"/>
    <n v="160"/>
    <x v="0"/>
    <s v="ChillVibes"/>
    <n v="6.1158416768035934E-2"/>
  </r>
  <r>
    <s v="SP088"/>
    <x v="1"/>
    <d v="2025-02-17T00:00:00"/>
    <x v="1"/>
    <s v="Whatâ€™s your vibe today? #SpotifyHits"/>
    <n v="4796"/>
    <n v="427"/>
    <n v="339"/>
    <n v="30752"/>
    <n v="33870"/>
    <n v="298"/>
    <x v="0"/>
    <s v="ChillVibes"/>
    <n v="0.18086628511966701"/>
  </r>
  <r>
    <s v="SP089"/>
    <x v="0"/>
    <d v="2024-12-04T00:00:00"/>
    <x v="0"/>
    <s v="Wrapped is here! Relive your top tracks ðŸŽ§"/>
    <n v="2601"/>
    <n v="336"/>
    <n v="260"/>
    <n v="32368"/>
    <n v="49028"/>
    <n v="120"/>
    <x v="0"/>
    <s v="ChillVibes"/>
    <n v="9.8770390509144837E-2"/>
  </r>
  <r>
    <s v="SP090"/>
    <x v="1"/>
    <d v="2024-07-22T00:00:00"/>
    <x v="1"/>
    <s v="Wrapped is here! Relive your top tracks ðŸŽ§"/>
    <n v="3336"/>
    <n v="229"/>
    <n v="337"/>
    <n v="22117"/>
    <n v="26205"/>
    <n v="160"/>
    <x v="2"/>
    <s v="ChillVibes"/>
    <n v="0.17642537414658407"/>
  </r>
  <r>
    <s v="SP091"/>
    <x v="1"/>
    <d v="2025-04-27T00:00:00"/>
    <x v="0"/>
    <s v="Explore the latest podcasts now."/>
    <n v="1165"/>
    <n v="294"/>
    <n v="163"/>
    <n v="20659"/>
    <n v="45926"/>
    <n v="111"/>
    <x v="6"/>
    <s v="IndieWave"/>
    <n v="7.8512996756861422E-2"/>
  </r>
  <r>
    <s v="SP092"/>
    <x v="2"/>
    <d v="2024-03-25T00:00:00"/>
    <x v="2"/>
    <s v="Explore the latest podcasts now."/>
    <n v="1948"/>
    <n v="155"/>
    <n v="315"/>
    <n v="30321"/>
    <n v="57121"/>
    <n v="82"/>
    <x v="7"/>
    <s v="SummerBeats"/>
    <n v="7.974671020085089E-2"/>
  </r>
  <r>
    <s v="SP093"/>
    <x v="0"/>
    <d v="2024-02-29T00:00:00"/>
    <x v="0"/>
    <s v="From pop to podcasts, itâ€™s all here."/>
    <n v="1100"/>
    <n v="229"/>
    <n v="312"/>
    <n v="25641"/>
    <n v="34601"/>
    <n v="169"/>
    <x v="1"/>
    <s v="IndieWave"/>
    <n v="6.3999063999063993E-2"/>
  </r>
  <r>
    <s v="SP094"/>
    <x v="1"/>
    <d v="2024-11-13T00:00:00"/>
    <x v="1"/>
    <s v="Top trending tracks updated daily!"/>
    <n v="4628"/>
    <n v="257"/>
    <n v="397"/>
    <n v="36686"/>
    <n v="54683"/>
    <n v="98"/>
    <x v="0"/>
    <s v="ChillVibes"/>
    <n v="0.1439786294499264"/>
  </r>
  <r>
    <s v="SP095"/>
    <x v="0"/>
    <d v="2024-03-22T00:00:00"/>
    <x v="1"/>
    <s v="Discover fresh beats on Spotify!"/>
    <n v="2319"/>
    <n v="484"/>
    <n v="193"/>
    <n v="21202"/>
    <n v="18091"/>
    <n v="241"/>
    <x v="5"/>
    <s v="Wrapped2024"/>
    <n v="0.14130742382794076"/>
  </r>
  <r>
    <s v="SP096"/>
    <x v="1"/>
    <d v="2024-03-16T00:00:00"/>
    <x v="1"/>
    <s v="Wrapped is here! Relive your top tracks ðŸŽ§"/>
    <n v="2895"/>
    <n v="292"/>
    <n v="90"/>
    <n v="24223"/>
    <n v="54626"/>
    <n v="114"/>
    <x v="0"/>
    <s v="ChillVibes"/>
    <n v="0.13528464682326713"/>
  </r>
  <r>
    <s v="SP097"/>
    <x v="0"/>
    <d v="2024-01-26T00:00:00"/>
    <x v="0"/>
    <s v="Whatâ€™s your vibe today? #SpotifyHits"/>
    <n v="3878"/>
    <n v="431"/>
    <n v="97"/>
    <n v="41763"/>
    <n v="29729"/>
    <n v="191"/>
    <x v="1"/>
    <s v="IndieWave"/>
    <n v="0.10550008380623997"/>
  </r>
  <r>
    <s v="SP098"/>
    <x v="1"/>
    <d v="2024-03-15T00:00:00"/>
    <x v="1"/>
    <s v="Get into the groove with our new drop!"/>
    <n v="4969"/>
    <n v="433"/>
    <n v="237"/>
    <n v="59552"/>
    <n v="23885"/>
    <n v="157"/>
    <x v="4"/>
    <s v="ChillVibes"/>
    <n v="9.4690354648038683E-2"/>
  </r>
  <r>
    <s v="SP099"/>
    <x v="1"/>
    <d v="2024-10-15T00:00:00"/>
    <x v="0"/>
    <s v="Wrapped is here! Relive your top tracks ðŸŽ§"/>
    <n v="1984"/>
    <n v="481"/>
    <n v="356"/>
    <n v="40681"/>
    <n v="63111"/>
    <n v="258"/>
    <x v="5"/>
    <s v="ChillVibes"/>
    <n v="6.934441139598338E-2"/>
  </r>
  <r>
    <s v="SP100"/>
    <x v="0"/>
    <d v="2024-07-21T00:00:00"/>
    <x v="0"/>
    <s v="Discover fresh beats on Spotify!"/>
    <n v="3004"/>
    <n v="415"/>
    <n v="218"/>
    <n v="36090"/>
    <n v="37073"/>
    <n v="181"/>
    <x v="1"/>
    <s v="IndieWave"/>
    <n v="0.10077583818232197"/>
  </r>
  <r>
    <s v="SP101"/>
    <x v="1"/>
    <d v="2024-10-12T00:00:00"/>
    <x v="0"/>
    <s v="Get into the groove with our new drop!"/>
    <n v="3169"/>
    <n v="386"/>
    <n v="175"/>
    <n v="45012"/>
    <n v="38508"/>
    <n v="218"/>
    <x v="5"/>
    <s v="ChillVibes"/>
    <n v="8.2866791077934779E-2"/>
  </r>
  <r>
    <s v="SP102"/>
    <x v="1"/>
    <d v="2024-10-26T00:00:00"/>
    <x v="0"/>
    <s v="Discover fresh beats on Spotify!"/>
    <n v="3036"/>
    <n v="293"/>
    <n v="115"/>
    <n v="23776"/>
    <n v="46386"/>
    <n v="282"/>
    <x v="5"/>
    <s v="ChillVibes"/>
    <n v="0.14485195154777927"/>
  </r>
  <r>
    <s v="SP103"/>
    <x v="0"/>
    <d v="2024-02-14T00:00:00"/>
    <x v="0"/>
    <s v="Music that moves youâ€”only on Spotify."/>
    <n v="1830"/>
    <n v="112"/>
    <n v="181"/>
    <n v="31870"/>
    <n v="55742"/>
    <n v="263"/>
    <x v="0"/>
    <s v="ChillVibes"/>
    <n v="6.6614370881706936E-2"/>
  </r>
  <r>
    <s v="SP104"/>
    <x v="1"/>
    <d v="2024-05-01T00:00:00"/>
    <x v="1"/>
    <s v="Whatâ€™s your vibe today? #SpotifyHits"/>
    <n v="2587"/>
    <n v="447"/>
    <n v="183"/>
    <n v="36266"/>
    <n v="32877"/>
    <n v="132"/>
    <x v="4"/>
    <s v="ChillVibes"/>
    <n v="8.8705674736667947E-2"/>
  </r>
  <r>
    <s v="SP105"/>
    <x v="1"/>
    <d v="2024-09-18T00:00:00"/>
    <x v="0"/>
    <s v="Discover fresh beats on Spotify!"/>
    <n v="2878"/>
    <n v="265"/>
    <n v="91"/>
    <n v="52090"/>
    <n v="28924"/>
    <n v="133"/>
    <x v="5"/>
    <s v="ChillVibes"/>
    <n v="6.2084853138798232E-2"/>
  </r>
  <r>
    <s v="SP106"/>
    <x v="1"/>
    <d v="2025-01-20T00:00:00"/>
    <x v="1"/>
    <s v="New music just dropped. Hit play!"/>
    <n v="4619"/>
    <n v="272"/>
    <n v="57"/>
    <n v="21334"/>
    <n v="46292"/>
    <n v="91"/>
    <x v="0"/>
    <s v="ChillVibes"/>
    <n v="0.23193025217961938"/>
  </r>
  <r>
    <s v="SP107"/>
    <x v="1"/>
    <d v="2025-01-13T00:00:00"/>
    <x v="0"/>
    <s v="Music that moves youâ€”only on Spotify."/>
    <n v="4090"/>
    <n v="209"/>
    <n v="278"/>
    <n v="52853"/>
    <n v="57084"/>
    <n v="102"/>
    <x v="6"/>
    <s v="IndieWave"/>
    <n v="8.6598679355949518E-2"/>
  </r>
  <r>
    <s v="SP108"/>
    <x v="2"/>
    <d v="2024-09-07T00:00:00"/>
    <x v="2"/>
    <s v="Music that moves youâ€”only on Spotify."/>
    <n v="3882"/>
    <n v="342"/>
    <n v="374"/>
    <n v="41991"/>
    <n v="48554"/>
    <n v="118"/>
    <x v="7"/>
    <s v="SummerBeats"/>
    <n v="0.10949965468790931"/>
  </r>
  <r>
    <s v="SP109"/>
    <x v="0"/>
    <d v="2024-11-21T00:00:00"/>
    <x v="0"/>
    <s v="Music that moves youâ€”only on Spotify."/>
    <n v="4581"/>
    <n v="181"/>
    <n v="112"/>
    <n v="35221"/>
    <n v="28797"/>
    <n v="164"/>
    <x v="0"/>
    <s v="ChillVibes"/>
    <n v="0.13838335084182732"/>
  </r>
  <r>
    <s v="SP110"/>
    <x v="0"/>
    <d v="2024-06-26T00:00:00"/>
    <x v="0"/>
    <s v="New music just dropped. Hit play!"/>
    <n v="3253"/>
    <n v="483"/>
    <n v="336"/>
    <n v="25397"/>
    <n v="51485"/>
    <n v="131"/>
    <x v="1"/>
    <s v="IndieWave"/>
    <n v="0.16033389770445328"/>
  </r>
  <r>
    <s v="SP111"/>
    <x v="2"/>
    <d v="2024-07-20T00:00:00"/>
    <x v="2"/>
    <s v="Music that moves youâ€”only on Spotify."/>
    <n v="4955"/>
    <n v="299"/>
    <n v="345"/>
    <n v="33644"/>
    <n v="43547"/>
    <n v="194"/>
    <x v="7"/>
    <s v="SummerBeats"/>
    <n v="0.16641897515158721"/>
  </r>
  <r>
    <s v="SP112"/>
    <x v="0"/>
    <d v="2025-02-16T00:00:00"/>
    <x v="0"/>
    <s v="Your weekend playlist is waiting."/>
    <n v="1333"/>
    <n v="286"/>
    <n v="298"/>
    <n v="36174"/>
    <n v="34517"/>
    <n v="170"/>
    <x v="0"/>
    <s v="ChillVibes"/>
    <n v="5.2993862995521647E-2"/>
  </r>
  <r>
    <s v="SP113"/>
    <x v="0"/>
    <d v="2024-09-09T00:00:00"/>
    <x v="0"/>
    <s v="New music just dropped. Hit play!"/>
    <n v="1616"/>
    <n v="360"/>
    <n v="180"/>
    <n v="54342"/>
    <n v="18796"/>
    <n v="282"/>
    <x v="0"/>
    <s v="ChillVibes"/>
    <n v="3.9674653122814763E-2"/>
  </r>
  <r>
    <s v="SP114"/>
    <x v="1"/>
    <d v="2024-07-16T00:00:00"/>
    <x v="0"/>
    <s v="Top trending tracks updated daily!"/>
    <n v="1803"/>
    <n v="273"/>
    <n v="287"/>
    <n v="46176"/>
    <n v="25488"/>
    <n v="141"/>
    <x v="5"/>
    <s v="ChillVibes"/>
    <n v="5.1173769923769923E-2"/>
  </r>
  <r>
    <s v="SP115"/>
    <x v="0"/>
    <d v="2025-04-15T00:00:00"/>
    <x v="0"/>
    <s v="Explore the latest podcasts now."/>
    <n v="4177"/>
    <n v="489"/>
    <n v="331"/>
    <n v="57451"/>
    <n v="73793"/>
    <n v="251"/>
    <x v="1"/>
    <s v="IndieWave"/>
    <n v="8.6978468608031198E-2"/>
  </r>
  <r>
    <s v="SP116"/>
    <x v="0"/>
    <d v="2025-05-04T00:00:00"/>
    <x v="1"/>
    <s v="New music just dropped. Hit play!"/>
    <n v="1311"/>
    <n v="181"/>
    <n v="361"/>
    <n v="37148"/>
    <n v="44875"/>
    <n v="245"/>
    <x v="5"/>
    <s v="Wrapped2024"/>
    <n v="4.9881554861634543E-2"/>
  </r>
  <r>
    <s v="SP117"/>
    <x v="0"/>
    <d v="2024-02-18T00:00:00"/>
    <x v="1"/>
    <s v="From pop to podcasts, itâ€™s all here."/>
    <n v="1516"/>
    <n v="215"/>
    <n v="332"/>
    <n v="58981"/>
    <n v="36118"/>
    <n v="211"/>
    <x v="5"/>
    <s v="Wrapped2024"/>
    <n v="3.4977365592309385E-2"/>
  </r>
  <r>
    <s v="SP118"/>
    <x v="1"/>
    <d v="2024-05-16T00:00:00"/>
    <x v="1"/>
    <s v="Music that moves youâ€”only on Spotify."/>
    <n v="2023"/>
    <n v="124"/>
    <n v="99"/>
    <n v="54524"/>
    <n v="34790"/>
    <n v="195"/>
    <x v="4"/>
    <s v="ChillVibes"/>
    <n v="4.1192869195216787E-2"/>
  </r>
  <r>
    <s v="SP119"/>
    <x v="1"/>
    <d v="2025-05-29T00:00:00"/>
    <x v="1"/>
    <s v="Music that moves youâ€”only on Spotify."/>
    <n v="2134"/>
    <n v="322"/>
    <n v="114"/>
    <n v="44338"/>
    <n v="52165"/>
    <n v="176"/>
    <x v="2"/>
    <s v="ChillVibes"/>
    <n v="5.7963823356939871E-2"/>
  </r>
  <r>
    <s v="SP120"/>
    <x v="0"/>
    <d v="2025-01-17T00:00:00"/>
    <x v="0"/>
    <s v="Top trending tracks updated daily!"/>
    <n v="2266"/>
    <n v="126"/>
    <n v="140"/>
    <n v="53759"/>
    <n v="46834"/>
    <n v="277"/>
    <x v="1"/>
    <s v="IndieWave"/>
    <n v="4.7099090384865788E-2"/>
  </r>
  <r>
    <s v="SP121"/>
    <x v="0"/>
    <d v="2025-04-30T00:00:00"/>
    <x v="1"/>
    <s v="New music just dropped. Hit play!"/>
    <n v="3916"/>
    <n v="459"/>
    <n v="229"/>
    <n v="48989"/>
    <n v="39768"/>
    <n v="200"/>
    <x v="5"/>
    <s v="Wrapped2024"/>
    <n v="9.3980281287635997E-2"/>
  </r>
  <r>
    <s v="SP122"/>
    <x v="1"/>
    <d v="2024-02-24T00:00:00"/>
    <x v="1"/>
    <s v="Music that moves youâ€”only on Spotify."/>
    <n v="1022"/>
    <n v="463"/>
    <n v="360"/>
    <n v="51468"/>
    <n v="24279"/>
    <n v="230"/>
    <x v="4"/>
    <s v="ChillVibes"/>
    <n v="3.5847516903707161E-2"/>
  </r>
  <r>
    <s v="SP123"/>
    <x v="2"/>
    <d v="2024-05-12T00:00:00"/>
    <x v="0"/>
    <s v="From pop to podcasts, itâ€™s all here."/>
    <n v="2911"/>
    <n v="467"/>
    <n v="94"/>
    <n v="59083"/>
    <n v="49762"/>
    <n v="236"/>
    <x v="3"/>
    <s v="IndieWave"/>
    <n v="5.8764788517847777E-2"/>
  </r>
  <r>
    <s v="SP124"/>
    <x v="1"/>
    <d v="2024-05-09T00:00:00"/>
    <x v="1"/>
    <s v="New music just dropped. Hit play!"/>
    <n v="3277"/>
    <n v="423"/>
    <n v="259"/>
    <n v="46328"/>
    <n v="44293"/>
    <n v="299"/>
    <x v="0"/>
    <s v="ChillVibes"/>
    <n v="8.5455879813503707E-2"/>
  </r>
  <r>
    <s v="SP125"/>
    <x v="1"/>
    <d v="2024-11-06T00:00:00"/>
    <x v="0"/>
    <s v="From pop to podcasts, itâ€™s all here."/>
    <n v="2956"/>
    <n v="381"/>
    <n v="345"/>
    <n v="33347"/>
    <n v="22558"/>
    <n v="173"/>
    <x v="5"/>
    <s v="ChillVibes"/>
    <n v="0.11041472996071611"/>
  </r>
  <r>
    <s v="SP126"/>
    <x v="1"/>
    <d v="2024-01-04T00:00:00"/>
    <x v="1"/>
    <s v="Whatâ€™s your vibe today? #SpotifyHits"/>
    <n v="3208"/>
    <n v="476"/>
    <n v="277"/>
    <n v="56072"/>
    <n v="21061"/>
    <n v="113"/>
    <x v="2"/>
    <s v="ChillVibes"/>
    <n v="7.064131830503638E-2"/>
  </r>
  <r>
    <s v="SP127"/>
    <x v="1"/>
    <d v="2024-01-28T00:00:00"/>
    <x v="0"/>
    <s v="Music that moves youâ€”only on Spotify."/>
    <n v="1456"/>
    <n v="265"/>
    <n v="137"/>
    <n v="53485"/>
    <n v="59729"/>
    <n v="145"/>
    <x v="6"/>
    <s v="IndieWave"/>
    <n v="3.4738711788351875E-2"/>
  </r>
  <r>
    <s v="SP128"/>
    <x v="0"/>
    <d v="2024-02-22T00:00:00"/>
    <x v="0"/>
    <s v="New music just dropped. Hit play!"/>
    <n v="1902"/>
    <n v="394"/>
    <n v="279"/>
    <n v="24615"/>
    <n v="51330"/>
    <n v="176"/>
    <x v="0"/>
    <s v="ChillVibes"/>
    <n v="0.10461100954702417"/>
  </r>
  <r>
    <s v="SP129"/>
    <x v="1"/>
    <d v="2025-07-01T00:00:00"/>
    <x v="1"/>
    <s v="Explore the latest podcasts now."/>
    <n v="3219"/>
    <n v="424"/>
    <n v="267"/>
    <n v="48879"/>
    <n v="37691"/>
    <n v="224"/>
    <x v="4"/>
    <s v="ChillVibes"/>
    <n v="7.9993453221219743E-2"/>
  </r>
  <r>
    <s v="SP130"/>
    <x v="2"/>
    <d v="2024-01-10T00:00:00"/>
    <x v="0"/>
    <s v="Explore the latest podcasts now."/>
    <n v="1261"/>
    <n v="190"/>
    <n v="233"/>
    <n v="59888"/>
    <n v="51449"/>
    <n v="205"/>
    <x v="3"/>
    <s v="IndieWave"/>
    <n v="2.811915575741384E-2"/>
  </r>
  <r>
    <s v="SP131"/>
    <x v="1"/>
    <d v="2025-03-20T00:00:00"/>
    <x v="0"/>
    <s v="Your weekend playlist is waiting."/>
    <n v="1564"/>
    <n v="362"/>
    <n v="371"/>
    <n v="42075"/>
    <n v="66659"/>
    <n v="205"/>
    <x v="6"/>
    <s v="IndieWave"/>
    <n v="5.4592988710635768E-2"/>
  </r>
  <r>
    <s v="SP132"/>
    <x v="1"/>
    <d v="2024-09-28T00:00:00"/>
    <x v="0"/>
    <s v="Whatâ€™s your vibe today? #SpotifyHits"/>
    <n v="4006"/>
    <n v="420"/>
    <n v="194"/>
    <n v="49964"/>
    <n v="20685"/>
    <n v="148"/>
    <x v="5"/>
    <s v="ChillVibes"/>
    <n v="9.2466575934672959E-2"/>
  </r>
  <r>
    <s v="SP133"/>
    <x v="2"/>
    <d v="2024-01-27T00:00:00"/>
    <x v="0"/>
    <s v="Your weekend playlist is waiting."/>
    <n v="1976"/>
    <n v="262"/>
    <n v="218"/>
    <n v="51696"/>
    <n v="44846"/>
    <n v="139"/>
    <x v="3"/>
    <s v="IndieWave"/>
    <n v="4.7508511296812134E-2"/>
  </r>
  <r>
    <s v="SP134"/>
    <x v="1"/>
    <d v="2025-05-15T00:00:00"/>
    <x v="0"/>
    <s v="New music just dropped. Hit play!"/>
    <n v="1583"/>
    <n v="433"/>
    <n v="249"/>
    <n v="30256"/>
    <n v="47066"/>
    <n v="196"/>
    <x v="5"/>
    <s v="ChillVibes"/>
    <n v="7.4861184558434685E-2"/>
  </r>
  <r>
    <s v="SP135"/>
    <x v="1"/>
    <d v="2024-10-04T00:00:00"/>
    <x v="1"/>
    <s v="Explore the latest podcasts now."/>
    <n v="2870"/>
    <n v="380"/>
    <n v="393"/>
    <n v="37621"/>
    <n v="71794"/>
    <n v="127"/>
    <x v="2"/>
    <s v="ChillVibes"/>
    <n v="9.6834214933149046E-2"/>
  </r>
  <r>
    <s v="SP136"/>
    <x v="1"/>
    <d v="2024-11-19T00:00:00"/>
    <x v="0"/>
    <s v="Top trending tracks updated daily!"/>
    <n v="3728"/>
    <n v="271"/>
    <n v="275"/>
    <n v="22827"/>
    <n v="37034"/>
    <n v="199"/>
    <x v="5"/>
    <s v="ChillVibes"/>
    <n v="0.18723441538528934"/>
  </r>
  <r>
    <s v="SP137"/>
    <x v="1"/>
    <d v="2024-04-05T00:00:00"/>
    <x v="1"/>
    <s v="New music just dropped. Hit play!"/>
    <n v="4965"/>
    <n v="175"/>
    <n v="307"/>
    <n v="32793"/>
    <n v="43412"/>
    <n v="296"/>
    <x v="0"/>
    <s v="ChillVibes"/>
    <n v="0.16610252187966945"/>
  </r>
  <r>
    <s v="SP138"/>
    <x v="1"/>
    <d v="2024-11-28T00:00:00"/>
    <x v="1"/>
    <s v="New music just dropped. Hit play!"/>
    <n v="1131"/>
    <n v="100"/>
    <n v="116"/>
    <n v="48437"/>
    <n v="72704"/>
    <n v="236"/>
    <x v="4"/>
    <s v="ChillVibes"/>
    <n v="2.7809319322005904E-2"/>
  </r>
  <r>
    <s v="SP139"/>
    <x v="1"/>
    <d v="2025-03-09T00:00:00"/>
    <x v="0"/>
    <s v="Your weekend playlist is waiting."/>
    <n v="2754"/>
    <n v="215"/>
    <n v="264"/>
    <n v="27762"/>
    <n v="70203"/>
    <n v="289"/>
    <x v="5"/>
    <s v="ChillVibes"/>
    <n v="0.11645414595490239"/>
  </r>
  <r>
    <s v="SP140"/>
    <x v="1"/>
    <d v="2024-08-27T00:00:00"/>
    <x v="1"/>
    <s v="New music just dropped. Hit play!"/>
    <n v="1856"/>
    <n v="357"/>
    <n v="348"/>
    <n v="29428"/>
    <n v="70206"/>
    <n v="236"/>
    <x v="2"/>
    <s v="ChillVibes"/>
    <n v="8.702596166915863E-2"/>
  </r>
  <r>
    <s v="SP141"/>
    <x v="2"/>
    <d v="2024-10-01T00:00:00"/>
    <x v="2"/>
    <s v="Explore the latest podcasts now."/>
    <n v="3543"/>
    <n v="334"/>
    <n v="218"/>
    <n v="58007"/>
    <n v="24792"/>
    <n v="273"/>
    <x v="7"/>
    <s v="SummerBeats"/>
    <n v="7.0594928198320889E-2"/>
  </r>
  <r>
    <s v="SP142"/>
    <x v="0"/>
    <d v="2024-12-21T00:00:00"/>
    <x v="1"/>
    <s v="New music just dropped. Hit play!"/>
    <n v="4563"/>
    <n v="398"/>
    <n v="163"/>
    <n v="43679"/>
    <n v="48760"/>
    <n v="92"/>
    <x v="5"/>
    <s v="Wrapped2024"/>
    <n v="0.11731037798484398"/>
  </r>
  <r>
    <s v="SP143"/>
    <x v="0"/>
    <d v="2024-06-17T00:00:00"/>
    <x v="0"/>
    <s v="Discover fresh beats on Spotify!"/>
    <n v="4283"/>
    <n v="471"/>
    <n v="156"/>
    <n v="53004"/>
    <n v="25678"/>
    <n v="105"/>
    <x v="1"/>
    <s v="IndieWave"/>
    <n v="9.2634518149573616E-2"/>
  </r>
  <r>
    <s v="SP144"/>
    <x v="0"/>
    <d v="2025-02-14T00:00:00"/>
    <x v="0"/>
    <s v="Discover fresh beats on Spotify!"/>
    <n v="2329"/>
    <n v="373"/>
    <n v="291"/>
    <n v="49577"/>
    <n v="28002"/>
    <n v="82"/>
    <x v="0"/>
    <s v="ChillVibes"/>
    <n v="6.0370736430199488E-2"/>
  </r>
  <r>
    <s v="SP145"/>
    <x v="1"/>
    <d v="2025-05-28T00:00:00"/>
    <x v="1"/>
    <s v="Top trending tracks updated daily!"/>
    <n v="4287"/>
    <n v="273"/>
    <n v="122"/>
    <n v="40792"/>
    <n v="23878"/>
    <n v="277"/>
    <x v="2"/>
    <s v="ChillVibes"/>
    <n v="0.11477740733477153"/>
  </r>
  <r>
    <s v="SP146"/>
    <x v="0"/>
    <d v="2025-05-22T00:00:00"/>
    <x v="0"/>
    <s v="Discover fresh beats on Spotify!"/>
    <n v="2633"/>
    <n v="318"/>
    <n v="380"/>
    <n v="40869"/>
    <n v="64474"/>
    <n v="245"/>
    <x v="1"/>
    <s v="IndieWave"/>
    <n v="8.1504318676747664E-2"/>
  </r>
  <r>
    <s v="SP147"/>
    <x v="1"/>
    <d v="2024-01-21T00:00:00"/>
    <x v="1"/>
    <s v="Discover fresh beats on Spotify!"/>
    <n v="2383"/>
    <n v="136"/>
    <n v="302"/>
    <n v="39187"/>
    <n v="22133"/>
    <n v="208"/>
    <x v="2"/>
    <s v="ChillVibes"/>
    <n v="7.1988159338556151E-2"/>
  </r>
  <r>
    <s v="SP148"/>
    <x v="1"/>
    <d v="2025-02-08T00:00:00"/>
    <x v="1"/>
    <s v="Your weekend playlist is waiting."/>
    <n v="4752"/>
    <n v="334"/>
    <n v="56"/>
    <n v="48017"/>
    <n v="55534"/>
    <n v="270"/>
    <x v="4"/>
    <s v="ChillVibes"/>
    <n v="0.10708707332819627"/>
  </r>
  <r>
    <s v="SP149"/>
    <x v="1"/>
    <d v="2025-04-13T00:00:00"/>
    <x v="0"/>
    <s v="From pop to podcasts, itâ€™s all here."/>
    <n v="3890"/>
    <n v="408"/>
    <n v="338"/>
    <n v="56994"/>
    <n v="32621"/>
    <n v="286"/>
    <x v="6"/>
    <s v="IndieWave"/>
    <n v="8.1341895638137346E-2"/>
  </r>
  <r>
    <s v="SP150"/>
    <x v="1"/>
    <d v="2024-05-30T00:00:00"/>
    <x v="1"/>
    <s v="Your weekend playlist is waiting."/>
    <n v="2311"/>
    <n v="207"/>
    <n v="363"/>
    <n v="30349"/>
    <n v="32925"/>
    <n v="88"/>
    <x v="2"/>
    <s v="ChillVibes"/>
    <n v="9.4928992718046723E-2"/>
  </r>
  <r>
    <s v="SP151"/>
    <x v="0"/>
    <d v="2024-08-12T00:00:00"/>
    <x v="1"/>
    <s v="Discover fresh beats on Spotify!"/>
    <n v="2962"/>
    <n v="400"/>
    <n v="280"/>
    <n v="52508"/>
    <n v="58329"/>
    <n v="219"/>
    <x v="5"/>
    <s v="Wrapped2024"/>
    <n v="6.9360859297630834E-2"/>
  </r>
  <r>
    <s v="SP152"/>
    <x v="0"/>
    <d v="2024-09-27T00:00:00"/>
    <x v="0"/>
    <s v="Discover fresh beats on Spotify!"/>
    <n v="3118"/>
    <n v="116"/>
    <n v="195"/>
    <n v="37100"/>
    <n v="62629"/>
    <n v="272"/>
    <x v="1"/>
    <s v="IndieWave"/>
    <n v="9.2425876010781671E-2"/>
  </r>
  <r>
    <s v="SP153"/>
    <x v="1"/>
    <d v="2025-06-11T00:00:00"/>
    <x v="1"/>
    <s v="Explore the latest podcasts now."/>
    <n v="3805"/>
    <n v="453"/>
    <n v="63"/>
    <n v="52395"/>
    <n v="72934"/>
    <n v="87"/>
    <x v="4"/>
    <s v="ChillVibes"/>
    <n v="8.2469701307376658E-2"/>
  </r>
  <r>
    <s v="SP154"/>
    <x v="0"/>
    <d v="2024-11-19T00:00:00"/>
    <x v="0"/>
    <s v="Whatâ€™s your vibe today? #SpotifyHits"/>
    <n v="2525"/>
    <n v="272"/>
    <n v="294"/>
    <n v="51875"/>
    <n v="24732"/>
    <n v="92"/>
    <x v="1"/>
    <s v="IndieWave"/>
    <n v="5.9585542168674697E-2"/>
  </r>
  <r>
    <s v="SP155"/>
    <x v="0"/>
    <d v="2024-04-25T00:00:00"/>
    <x v="0"/>
    <s v="Music that moves youâ€”only on Spotify."/>
    <n v="3563"/>
    <n v="483"/>
    <n v="227"/>
    <n v="41085"/>
    <n v="26393"/>
    <n v="236"/>
    <x v="0"/>
    <s v="ChillVibes"/>
    <n v="0.10400389436534015"/>
  </r>
  <r>
    <s v="SP156"/>
    <x v="2"/>
    <d v="2024-09-03T00:00:00"/>
    <x v="2"/>
    <s v="Whatâ€™s your vibe today? #SpotifyHits"/>
    <n v="1437"/>
    <n v="494"/>
    <n v="129"/>
    <n v="53048"/>
    <n v="44090"/>
    <n v="230"/>
    <x v="7"/>
    <s v="SummerBeats"/>
    <n v="3.8832755240536872E-2"/>
  </r>
  <r>
    <s v="SP157"/>
    <x v="2"/>
    <d v="2025-03-02T00:00:00"/>
    <x v="0"/>
    <s v="From pop to podcasts, itâ€™s all here."/>
    <n v="4425"/>
    <n v="185"/>
    <n v="162"/>
    <n v="24610"/>
    <n v="21342"/>
    <n v="158"/>
    <x v="3"/>
    <s v="IndieWave"/>
    <n v="0.19390491670052823"/>
  </r>
  <r>
    <s v="SP158"/>
    <x v="1"/>
    <d v="2025-03-21T00:00:00"/>
    <x v="1"/>
    <s v="New music just dropped. Hit play!"/>
    <n v="4609"/>
    <n v="427"/>
    <n v="395"/>
    <n v="33698"/>
    <n v="29259"/>
    <n v="216"/>
    <x v="4"/>
    <s v="ChillVibes"/>
    <n v="0.16116683482699271"/>
  </r>
  <r>
    <s v="SP159"/>
    <x v="0"/>
    <d v="2024-04-12T00:00:00"/>
    <x v="1"/>
    <s v="Get into the groove with our new drop!"/>
    <n v="1558"/>
    <n v="352"/>
    <n v="202"/>
    <n v="25405"/>
    <n v="69941"/>
    <n v="219"/>
    <x v="5"/>
    <s v="Wrapped2024"/>
    <n v="8.3133241487896081E-2"/>
  </r>
  <r>
    <s v="SP160"/>
    <x v="2"/>
    <d v="2024-02-08T00:00:00"/>
    <x v="2"/>
    <s v="Top trending tracks updated daily!"/>
    <n v="1889"/>
    <n v="298"/>
    <n v="122"/>
    <n v="46225"/>
    <n v="74305"/>
    <n v="293"/>
    <x v="7"/>
    <s v="SummerBeats"/>
    <n v="4.9951325040562468E-2"/>
  </r>
  <r>
    <s v="SP161"/>
    <x v="0"/>
    <d v="2025-05-26T00:00:00"/>
    <x v="0"/>
    <s v="Discover fresh beats on Spotify!"/>
    <n v="3086"/>
    <n v="148"/>
    <n v="310"/>
    <n v="22824"/>
    <n v="58103"/>
    <n v="275"/>
    <x v="1"/>
    <s v="IndieWave"/>
    <n v="0.1552751489660007"/>
  </r>
  <r>
    <s v="SP162"/>
    <x v="0"/>
    <d v="2024-11-14T00:00:00"/>
    <x v="0"/>
    <s v="Music that moves youâ€”only on Spotify."/>
    <n v="2422"/>
    <n v="318"/>
    <n v="118"/>
    <n v="25386"/>
    <n v="20873"/>
    <n v="100"/>
    <x v="0"/>
    <s v="ChillVibes"/>
    <n v="0.11258173796580792"/>
  </r>
  <r>
    <s v="SP163"/>
    <x v="2"/>
    <d v="2024-08-09T00:00:00"/>
    <x v="2"/>
    <s v="From pop to podcasts, itâ€™s all here."/>
    <n v="3414"/>
    <n v="154"/>
    <n v="204"/>
    <n v="34146"/>
    <n v="44633"/>
    <n v="256"/>
    <x v="7"/>
    <s v="SummerBeats"/>
    <n v="0.11046681895390383"/>
  </r>
  <r>
    <s v="SP164"/>
    <x v="0"/>
    <d v="2025-06-27T00:00:00"/>
    <x v="1"/>
    <s v="Whatâ€™s your vibe today? #SpotifyHits"/>
    <n v="1342"/>
    <n v="332"/>
    <n v="163"/>
    <n v="51712"/>
    <n v="57922"/>
    <n v="168"/>
    <x v="5"/>
    <s v="Wrapped2024"/>
    <n v="3.5523669554455448E-2"/>
  </r>
  <r>
    <s v="SP165"/>
    <x v="0"/>
    <d v="2024-05-08T00:00:00"/>
    <x v="1"/>
    <s v="Music that moves youâ€”only on Spotify."/>
    <n v="2414"/>
    <n v="220"/>
    <n v="280"/>
    <n v="27355"/>
    <n v="50562"/>
    <n v="258"/>
    <x v="5"/>
    <s v="Wrapped2024"/>
    <n v="0.10652531529884847"/>
  </r>
  <r>
    <s v="SP166"/>
    <x v="0"/>
    <d v="2024-04-05T00:00:00"/>
    <x v="0"/>
    <s v="New music just dropped. Hit play!"/>
    <n v="4383"/>
    <n v="352"/>
    <n v="176"/>
    <n v="53239"/>
    <n v="34168"/>
    <n v="288"/>
    <x v="1"/>
    <s v="IndieWave"/>
    <n v="9.2244407295403744E-2"/>
  </r>
  <r>
    <s v="SP167"/>
    <x v="2"/>
    <d v="2025-01-27T00:00:00"/>
    <x v="0"/>
    <s v="Wrapped is here! Relive your top tracks ðŸŽ§"/>
    <n v="4294"/>
    <n v="423"/>
    <n v="93"/>
    <n v="29828"/>
    <n v="73144"/>
    <n v="298"/>
    <x v="3"/>
    <s v="IndieWave"/>
    <n v="0.1612578785034196"/>
  </r>
  <r>
    <s v="SP168"/>
    <x v="0"/>
    <d v="2024-04-03T00:00:00"/>
    <x v="0"/>
    <s v="Top trending tracks updated daily!"/>
    <n v="2762"/>
    <n v="339"/>
    <n v="323"/>
    <n v="33757"/>
    <n v="68511"/>
    <n v="121"/>
    <x v="0"/>
    <s v="ChillVibes"/>
    <n v="0.10143081434961637"/>
  </r>
  <r>
    <s v="SP169"/>
    <x v="2"/>
    <d v="2025-01-03T00:00:00"/>
    <x v="0"/>
    <s v="New music just dropped. Hit play!"/>
    <n v="3782"/>
    <n v="484"/>
    <n v="144"/>
    <n v="52172"/>
    <n v="59386"/>
    <n v="175"/>
    <x v="3"/>
    <s v="IndieWave"/>
    <n v="8.4528099363643333E-2"/>
  </r>
  <r>
    <s v="SP170"/>
    <x v="1"/>
    <d v="2024-11-23T00:00:00"/>
    <x v="0"/>
    <s v="New music just dropped. Hit play!"/>
    <n v="4318"/>
    <n v="371"/>
    <n v="329"/>
    <n v="32347"/>
    <n v="68956"/>
    <n v="259"/>
    <x v="6"/>
    <s v="IndieWave"/>
    <n v="0.15513030574705536"/>
  </r>
  <r>
    <s v="SP171"/>
    <x v="0"/>
    <d v="2024-09-01T00:00:00"/>
    <x v="1"/>
    <s v="Wrapped is here! Relive your top tracks ðŸŽ§"/>
    <n v="2335"/>
    <n v="150"/>
    <n v="75"/>
    <n v="26114"/>
    <n v="57549"/>
    <n v="135"/>
    <x v="5"/>
    <s v="Wrapped2024"/>
    <n v="9.8031707130274953E-2"/>
  </r>
  <r>
    <s v="SP172"/>
    <x v="2"/>
    <d v="2024-04-18T00:00:00"/>
    <x v="0"/>
    <s v="Explore the latest podcasts now."/>
    <n v="4023"/>
    <n v="293"/>
    <n v="91"/>
    <n v="26795"/>
    <n v="28924"/>
    <n v="278"/>
    <x v="3"/>
    <s v="IndieWave"/>
    <n v="0.16447098339242397"/>
  </r>
  <r>
    <s v="SP173"/>
    <x v="0"/>
    <d v="2024-06-04T00:00:00"/>
    <x v="0"/>
    <s v="Get into the groove with our new drop!"/>
    <n v="3948"/>
    <n v="151"/>
    <n v="249"/>
    <n v="43147"/>
    <n v="63136"/>
    <n v="230"/>
    <x v="1"/>
    <s v="IndieWave"/>
    <n v="0.10077178019329269"/>
  </r>
  <r>
    <s v="SP174"/>
    <x v="2"/>
    <d v="2025-04-02T00:00:00"/>
    <x v="0"/>
    <s v="Wrapped is here! Relive your top tracks ðŸŽ§"/>
    <n v="4598"/>
    <n v="455"/>
    <n v="378"/>
    <n v="52952"/>
    <n v="58504"/>
    <n v="269"/>
    <x v="3"/>
    <s v="IndieWave"/>
    <n v="0.10256458679558846"/>
  </r>
  <r>
    <s v="SP175"/>
    <x v="1"/>
    <d v="2025-04-01T00:00:00"/>
    <x v="1"/>
    <s v="Music that moves youâ€”only on Spotify."/>
    <n v="2665"/>
    <n v="143"/>
    <n v="315"/>
    <n v="54808"/>
    <n v="29818"/>
    <n v="98"/>
    <x v="4"/>
    <s v="ChillVibes"/>
    <n v="5.6980732739746021E-2"/>
  </r>
  <r>
    <s v="SP176"/>
    <x v="0"/>
    <d v="2024-07-02T00:00:00"/>
    <x v="0"/>
    <s v="Top trending tracks updated daily!"/>
    <n v="3469"/>
    <n v="371"/>
    <n v="76"/>
    <n v="46493"/>
    <n v="26906"/>
    <n v="150"/>
    <x v="0"/>
    <s v="ChillVibes"/>
    <n v="8.4227733207149463E-2"/>
  </r>
  <r>
    <s v="SP177"/>
    <x v="1"/>
    <d v="2024-11-10T00:00:00"/>
    <x v="0"/>
    <s v="Explore the latest podcasts now."/>
    <n v="4823"/>
    <n v="489"/>
    <n v="302"/>
    <n v="32470"/>
    <n v="31861"/>
    <n v="178"/>
    <x v="6"/>
    <s v="IndieWave"/>
    <n v="0.1728980597474592"/>
  </r>
  <r>
    <s v="SP178"/>
    <x v="0"/>
    <d v="2024-12-14T00:00:00"/>
    <x v="1"/>
    <s v="From pop to podcasts, itâ€™s all here."/>
    <n v="3812"/>
    <n v="321"/>
    <n v="289"/>
    <n v="59838"/>
    <n v="36337"/>
    <n v="161"/>
    <x v="5"/>
    <s v="Wrapped2024"/>
    <n v="7.3899528727564417E-2"/>
  </r>
  <r>
    <s v="SP179"/>
    <x v="1"/>
    <d v="2024-11-19T00:00:00"/>
    <x v="0"/>
    <s v="Explore the latest podcasts now."/>
    <n v="2387"/>
    <n v="353"/>
    <n v="78"/>
    <n v="39745"/>
    <n v="69226"/>
    <n v="208"/>
    <x v="6"/>
    <s v="IndieWave"/>
    <n v="7.090200025160398E-2"/>
  </r>
  <r>
    <s v="SP180"/>
    <x v="1"/>
    <d v="2025-04-30T00:00:00"/>
    <x v="1"/>
    <s v="Wrapped is here! Relive your top tracks ðŸŽ§"/>
    <n v="3929"/>
    <n v="275"/>
    <n v="330"/>
    <n v="58329"/>
    <n v="33196"/>
    <n v="85"/>
    <x v="2"/>
    <s v="ChillVibes"/>
    <n v="7.7731488624869283E-2"/>
  </r>
  <r>
    <s v="SP181"/>
    <x v="1"/>
    <d v="2024-03-19T00:00:00"/>
    <x v="0"/>
    <s v="From pop to podcasts, itâ€™s all here."/>
    <n v="2191"/>
    <n v="288"/>
    <n v="83"/>
    <n v="59606"/>
    <n v="24765"/>
    <n v="281"/>
    <x v="6"/>
    <s v="IndieWave"/>
    <n v="4.2982250109049422E-2"/>
  </r>
  <r>
    <s v="SP182"/>
    <x v="0"/>
    <d v="2024-03-19T00:00:00"/>
    <x v="0"/>
    <s v="From pop to podcasts, itâ€™s all here."/>
    <n v="2878"/>
    <n v="278"/>
    <n v="255"/>
    <n v="47235"/>
    <n v="57922"/>
    <n v="112"/>
    <x v="0"/>
    <s v="ChillVibes"/>
    <n v="7.2213401079707848E-2"/>
  </r>
  <r>
    <s v="SP183"/>
    <x v="1"/>
    <d v="2024-07-23T00:00:00"/>
    <x v="0"/>
    <s v="Top trending tracks updated daily!"/>
    <n v="3204"/>
    <n v="398"/>
    <n v="85"/>
    <n v="22020"/>
    <n v="58353"/>
    <n v="286"/>
    <x v="6"/>
    <s v="IndieWave"/>
    <n v="0.16743869209809265"/>
  </r>
  <r>
    <s v="SP184"/>
    <x v="1"/>
    <d v="2024-07-13T00:00:00"/>
    <x v="1"/>
    <s v="Get into the groove with our new drop!"/>
    <n v="2408"/>
    <n v="323"/>
    <n v="251"/>
    <n v="47599"/>
    <n v="35543"/>
    <n v="287"/>
    <x v="2"/>
    <s v="ChillVibes"/>
    <n v="6.2648374965860634E-2"/>
  </r>
  <r>
    <s v="SP185"/>
    <x v="2"/>
    <d v="2025-04-22T00:00:00"/>
    <x v="2"/>
    <s v="New music just dropped. Hit play!"/>
    <n v="2733"/>
    <n v="297"/>
    <n v="235"/>
    <n v="37980"/>
    <n v="33058"/>
    <n v="219"/>
    <x v="7"/>
    <s v="SummerBeats"/>
    <n v="8.5966298051606105E-2"/>
  </r>
  <r>
    <s v="SP186"/>
    <x v="1"/>
    <d v="2024-06-16T00:00:00"/>
    <x v="1"/>
    <s v="Explore the latest podcasts now."/>
    <n v="4618"/>
    <n v="312"/>
    <n v="254"/>
    <n v="22571"/>
    <n v="29453"/>
    <n v="197"/>
    <x v="2"/>
    <s v="ChillVibes"/>
    <n v="0.22967524699836073"/>
  </r>
  <r>
    <s v="SP187"/>
    <x v="2"/>
    <d v="2025-05-18T00:00:00"/>
    <x v="2"/>
    <s v="Wrapped is here! Relive your top tracks ðŸŽ§"/>
    <n v="4210"/>
    <n v="319"/>
    <n v="350"/>
    <n v="37762"/>
    <n v="55162"/>
    <n v="204"/>
    <x v="7"/>
    <s v="SummerBeats"/>
    <n v="0.12920396165457337"/>
  </r>
  <r>
    <s v="SP188"/>
    <x v="0"/>
    <d v="2025-06-06T00:00:00"/>
    <x v="0"/>
    <s v="Wrapped is here! Relive your top tracks ðŸŽ§"/>
    <n v="3987"/>
    <n v="171"/>
    <n v="274"/>
    <n v="45122"/>
    <n v="65431"/>
    <n v="168"/>
    <x v="1"/>
    <s v="IndieWave"/>
    <n v="9.8222596516111871E-2"/>
  </r>
  <r>
    <s v="SP189"/>
    <x v="2"/>
    <d v="2025-02-20T00:00:00"/>
    <x v="2"/>
    <s v="Get into the groove with our new drop!"/>
    <n v="4957"/>
    <n v="262"/>
    <n v="365"/>
    <n v="49199"/>
    <n v="40314"/>
    <n v="216"/>
    <x v="7"/>
    <s v="SummerBeats"/>
    <n v="0.11349824183418362"/>
  </r>
  <r>
    <s v="SP190"/>
    <x v="0"/>
    <d v="2025-01-16T00:00:00"/>
    <x v="0"/>
    <s v="Music that moves youâ€”only on Spotify."/>
    <n v="2605"/>
    <n v="282"/>
    <n v="148"/>
    <n v="32201"/>
    <n v="49583"/>
    <n v="241"/>
    <x v="0"/>
    <s v="ChillVibes"/>
    <n v="9.4251731312692155E-2"/>
  </r>
  <r>
    <s v="SP191"/>
    <x v="2"/>
    <d v="2024-02-24T00:00:00"/>
    <x v="2"/>
    <s v="Discover fresh beats on Spotify!"/>
    <n v="4221"/>
    <n v="307"/>
    <n v="58"/>
    <n v="45080"/>
    <n v="37214"/>
    <n v="240"/>
    <x v="7"/>
    <s v="SummerBeats"/>
    <n v="0.10173025732031943"/>
  </r>
  <r>
    <s v="SP192"/>
    <x v="1"/>
    <d v="2024-09-16T00:00:00"/>
    <x v="1"/>
    <s v="Whatâ€™s your vibe today? #SpotifyHits"/>
    <n v="4422"/>
    <n v="434"/>
    <n v="156"/>
    <n v="56165"/>
    <n v="52431"/>
    <n v="173"/>
    <x v="4"/>
    <s v="ChillVibes"/>
    <n v="8.9237069349238848E-2"/>
  </r>
  <r>
    <s v="SP193"/>
    <x v="2"/>
    <d v="2024-06-04T00:00:00"/>
    <x v="2"/>
    <s v="Wrapped is here! Relive your top tracks ðŸŽ§"/>
    <n v="1211"/>
    <n v="431"/>
    <n v="83"/>
    <n v="26532"/>
    <n v="47305"/>
    <n v="232"/>
    <x v="7"/>
    <s v="SummerBeats"/>
    <n v="6.5015829941203071E-2"/>
  </r>
  <r>
    <s v="SP194"/>
    <x v="1"/>
    <d v="2024-05-10T00:00:00"/>
    <x v="1"/>
    <s v="Explore the latest podcasts now."/>
    <n v="2784"/>
    <n v="111"/>
    <n v="399"/>
    <n v="58366"/>
    <n v="69512"/>
    <n v="269"/>
    <x v="2"/>
    <s v="ChillVibes"/>
    <n v="5.6436966727204191E-2"/>
  </r>
  <r>
    <s v="SP195"/>
    <x v="2"/>
    <d v="2024-01-14T00:00:00"/>
    <x v="0"/>
    <s v="New music just dropped. Hit play!"/>
    <n v="3634"/>
    <n v="280"/>
    <n v="399"/>
    <n v="40256"/>
    <n v="52605"/>
    <n v="213"/>
    <x v="3"/>
    <s v="IndieWave"/>
    <n v="0.10713930842607314"/>
  </r>
  <r>
    <s v="SP196"/>
    <x v="0"/>
    <d v="2025-01-12T00:00:00"/>
    <x v="0"/>
    <s v="From pop to podcasts, itâ€™s all here."/>
    <n v="1771"/>
    <n v="487"/>
    <n v="272"/>
    <n v="48810"/>
    <n v="48084"/>
    <n v="272"/>
    <x v="0"/>
    <s v="ChillVibes"/>
    <n v="5.1833640647408315E-2"/>
  </r>
  <r>
    <s v="SP197"/>
    <x v="2"/>
    <d v="2024-12-08T00:00:00"/>
    <x v="0"/>
    <s v="Top trending tracks updated daily!"/>
    <n v="1424"/>
    <n v="396"/>
    <n v="312"/>
    <n v="59517"/>
    <n v="46102"/>
    <n v="239"/>
    <x v="3"/>
    <s v="IndieWave"/>
    <n v="3.5821698002251455E-2"/>
  </r>
  <r>
    <s v="SP198"/>
    <x v="1"/>
    <d v="2025-02-01T00:00:00"/>
    <x v="1"/>
    <s v="Top trending tracks updated daily!"/>
    <n v="1079"/>
    <n v="265"/>
    <n v="190"/>
    <n v="43786"/>
    <n v="72428"/>
    <n v="222"/>
    <x v="0"/>
    <s v="ChillVibes"/>
    <n v="3.5034029141734799E-2"/>
  </r>
  <r>
    <s v="SP199"/>
    <x v="1"/>
    <d v="2024-07-11T00:00:00"/>
    <x v="1"/>
    <s v="Get into the groove with our new drop!"/>
    <n v="4247"/>
    <n v="179"/>
    <n v="175"/>
    <n v="32991"/>
    <n v="70120"/>
    <n v="276"/>
    <x v="0"/>
    <s v="ChillVibes"/>
    <n v="0.13946227759085811"/>
  </r>
  <r>
    <s v="SP200"/>
    <x v="1"/>
    <d v="2024-03-18T00:00:00"/>
    <x v="0"/>
    <s v="New music just dropped. Hit play!"/>
    <n v="2033"/>
    <n v="420"/>
    <n v="94"/>
    <n v="56290"/>
    <n v="57391"/>
    <n v="196"/>
    <x v="5"/>
    <s v="ChillVibes"/>
    <n v="4.5247823769763724E-2"/>
  </r>
  <r>
    <s v="SP201"/>
    <x v="1"/>
    <d v="2024-09-12T00:00:00"/>
    <x v="1"/>
    <s v="Wrapped is here! Relive your top tracks ðŸŽ§"/>
    <n v="1839"/>
    <n v="223"/>
    <n v="171"/>
    <n v="35459"/>
    <n v="69988"/>
    <n v="114"/>
    <x v="2"/>
    <s v="ChillVibes"/>
    <n v="6.2974139146620034E-2"/>
  </r>
  <r>
    <s v="SP202"/>
    <x v="1"/>
    <d v="2024-01-11T00:00:00"/>
    <x v="1"/>
    <s v="Wrapped is here! Relive your top tracks ðŸŽ§"/>
    <n v="2340"/>
    <n v="141"/>
    <n v="206"/>
    <n v="24916"/>
    <n v="30582"/>
    <n v="157"/>
    <x v="0"/>
    <s v="ChillVibes"/>
    <n v="0.10784235029699792"/>
  </r>
  <r>
    <s v="SP203"/>
    <x v="0"/>
    <d v="2024-10-06T00:00:00"/>
    <x v="0"/>
    <s v="Top trending tracks updated daily!"/>
    <n v="2080"/>
    <n v="389"/>
    <n v="92"/>
    <n v="30971"/>
    <n v="25347"/>
    <n v="111"/>
    <x v="1"/>
    <s v="IndieWave"/>
    <n v="8.2690258629040073E-2"/>
  </r>
  <r>
    <s v="SP204"/>
    <x v="1"/>
    <d v="2024-12-30T00:00:00"/>
    <x v="0"/>
    <s v="Get into the groove with our new drop!"/>
    <n v="4214"/>
    <n v="286"/>
    <n v="127"/>
    <n v="47293"/>
    <n v="27184"/>
    <n v="232"/>
    <x v="5"/>
    <s v="ChillVibes"/>
    <n v="9.7836889180216949E-2"/>
  </r>
  <r>
    <s v="SP205"/>
    <x v="1"/>
    <d v="2025-04-16T00:00:00"/>
    <x v="0"/>
    <s v="Wrapped is here! Relive your top tracks ðŸŽ§"/>
    <n v="3792"/>
    <n v="315"/>
    <n v="120"/>
    <n v="54592"/>
    <n v="67886"/>
    <n v="117"/>
    <x v="6"/>
    <s v="IndieWave"/>
    <n v="7.7428927315357568E-2"/>
  </r>
  <r>
    <s v="SP206"/>
    <x v="1"/>
    <d v="2024-08-21T00:00:00"/>
    <x v="1"/>
    <s v="Explore the latest podcasts now."/>
    <n v="3989"/>
    <n v="476"/>
    <n v="128"/>
    <n v="57569"/>
    <n v="40193"/>
    <n v="222"/>
    <x v="4"/>
    <s v="ChillVibes"/>
    <n v="7.9782521843353188E-2"/>
  </r>
  <r>
    <s v="SP207"/>
    <x v="1"/>
    <d v="2024-04-05T00:00:00"/>
    <x v="1"/>
    <s v="Wrapped is here! Relive your top tracks ðŸŽ§"/>
    <n v="2857"/>
    <n v="443"/>
    <n v="359"/>
    <n v="51519"/>
    <n v="28256"/>
    <n v="155"/>
    <x v="0"/>
    <s v="ChillVibes"/>
    <n v="7.1022341272152026E-2"/>
  </r>
  <r>
    <s v="SP208"/>
    <x v="1"/>
    <d v="2025-04-07T00:00:00"/>
    <x v="0"/>
    <s v="From pop to podcasts, itâ€™s all here."/>
    <n v="1403"/>
    <n v="385"/>
    <n v="344"/>
    <n v="54223"/>
    <n v="72595"/>
    <n v="239"/>
    <x v="6"/>
    <s v="IndieWave"/>
    <n v="3.9319108127547353E-2"/>
  </r>
  <r>
    <s v="SP209"/>
    <x v="1"/>
    <d v="2024-07-19T00:00:00"/>
    <x v="1"/>
    <s v="Whatâ€™s your vibe today? #SpotifyHits"/>
    <n v="3071"/>
    <n v="126"/>
    <n v="200"/>
    <n v="44013"/>
    <n v="44679"/>
    <n v="118"/>
    <x v="4"/>
    <s v="ChillVibes"/>
    <n v="7.7181741758116915E-2"/>
  </r>
  <r>
    <s v="SP210"/>
    <x v="1"/>
    <d v="2025-05-03T00:00:00"/>
    <x v="1"/>
    <s v="Top trending tracks updated daily!"/>
    <n v="1010"/>
    <n v="361"/>
    <n v="240"/>
    <n v="47229"/>
    <n v="72573"/>
    <n v="275"/>
    <x v="0"/>
    <s v="ChillVibes"/>
    <n v="3.4110398272247981E-2"/>
  </r>
  <r>
    <s v="SP211"/>
    <x v="1"/>
    <d v="2024-04-14T00:00:00"/>
    <x v="1"/>
    <s v="Discover fresh beats on Spotify!"/>
    <n v="1295"/>
    <n v="153"/>
    <n v="81"/>
    <n v="48350"/>
    <n v="61033"/>
    <n v="232"/>
    <x v="4"/>
    <s v="ChillVibes"/>
    <n v="3.1623578076525334E-2"/>
  </r>
  <r>
    <s v="SP212"/>
    <x v="1"/>
    <d v="2025-06-19T00:00:00"/>
    <x v="1"/>
    <s v="Whatâ€™s your vibe today? #SpotifyHits"/>
    <n v="1433"/>
    <n v="452"/>
    <n v="305"/>
    <n v="54541"/>
    <n v="63700"/>
    <n v="296"/>
    <x v="4"/>
    <s v="ChillVibes"/>
    <n v="4.0153279184466734E-2"/>
  </r>
  <r>
    <s v="SP213"/>
    <x v="0"/>
    <d v="2025-06-24T00:00:00"/>
    <x v="1"/>
    <s v="Get into the groove with our new drop!"/>
    <n v="4902"/>
    <n v="422"/>
    <n v="376"/>
    <n v="31674"/>
    <n v="53225"/>
    <n v="147"/>
    <x v="5"/>
    <s v="Wrapped2024"/>
    <n v="0.17995832544042431"/>
  </r>
  <r>
    <s v="SP214"/>
    <x v="1"/>
    <d v="2024-10-09T00:00:00"/>
    <x v="0"/>
    <s v="Wrapped is here! Relive your top tracks ðŸŽ§"/>
    <n v="2659"/>
    <n v="167"/>
    <n v="73"/>
    <n v="23090"/>
    <n v="25872"/>
    <n v="293"/>
    <x v="6"/>
    <s v="IndieWave"/>
    <n v="0.12555218709398008"/>
  </r>
  <r>
    <s v="SP215"/>
    <x v="2"/>
    <d v="2025-01-15T00:00:00"/>
    <x v="0"/>
    <s v="Your weekend playlist is waiting."/>
    <n v="2599"/>
    <n v="324"/>
    <n v="182"/>
    <n v="37525"/>
    <n v="37216"/>
    <n v="186"/>
    <x v="3"/>
    <s v="IndieWave"/>
    <n v="8.2744836775483013E-2"/>
  </r>
  <r>
    <s v="SP216"/>
    <x v="1"/>
    <d v="2025-01-12T00:00:00"/>
    <x v="0"/>
    <s v="Music that moves youâ€”only on Spotify."/>
    <n v="1765"/>
    <n v="285"/>
    <n v="100"/>
    <n v="41313"/>
    <n v="56575"/>
    <n v="174"/>
    <x v="6"/>
    <s v="IndieWave"/>
    <n v="5.2041730205988429E-2"/>
  </r>
  <r>
    <s v="SP217"/>
    <x v="0"/>
    <d v="2025-05-31T00:00:00"/>
    <x v="0"/>
    <s v="Whatâ€™s your vibe today? #SpotifyHits"/>
    <n v="2169"/>
    <n v="240"/>
    <n v="57"/>
    <n v="26109"/>
    <n v="46667"/>
    <n v="133"/>
    <x v="0"/>
    <s v="ChillVibes"/>
    <n v="9.4450189589796618E-2"/>
  </r>
  <r>
    <s v="SP218"/>
    <x v="1"/>
    <d v="2024-10-14T00:00:00"/>
    <x v="1"/>
    <s v="Explore the latest podcasts now."/>
    <n v="4303"/>
    <n v="306"/>
    <n v="302"/>
    <n v="39575"/>
    <n v="33762"/>
    <n v="265"/>
    <x v="4"/>
    <s v="ChillVibes"/>
    <n v="0.12409349336702463"/>
  </r>
  <r>
    <s v="SP219"/>
    <x v="1"/>
    <d v="2024-02-10T00:00:00"/>
    <x v="0"/>
    <s v="From pop to podcasts, itâ€™s all here."/>
    <n v="1519"/>
    <n v="456"/>
    <n v="379"/>
    <n v="51611"/>
    <n v="45880"/>
    <n v="176"/>
    <x v="6"/>
    <s v="IndieWave"/>
    <n v="4.5610431884675749E-2"/>
  </r>
  <r>
    <s v="SP220"/>
    <x v="2"/>
    <d v="2024-12-10T00:00:00"/>
    <x v="0"/>
    <s v="Whatâ€™s your vibe today? #SpotifyHits"/>
    <n v="2569"/>
    <n v="140"/>
    <n v="375"/>
    <n v="38372"/>
    <n v="22102"/>
    <n v="255"/>
    <x v="3"/>
    <s v="IndieWave"/>
    <n v="8.0371103929948923E-2"/>
  </r>
  <r>
    <s v="SP221"/>
    <x v="1"/>
    <d v="2025-05-09T00:00:00"/>
    <x v="1"/>
    <s v="Music that moves youâ€”only on Spotify."/>
    <n v="2778"/>
    <n v="241"/>
    <n v="317"/>
    <n v="26247"/>
    <n v="20677"/>
    <n v="282"/>
    <x v="2"/>
    <s v="ChillVibes"/>
    <n v="0.1271002400274317"/>
  </r>
  <r>
    <s v="SP222"/>
    <x v="1"/>
    <d v="2025-06-21T00:00:00"/>
    <x v="0"/>
    <s v="Explore the latest podcasts now."/>
    <n v="3611"/>
    <n v="127"/>
    <n v="139"/>
    <n v="44768"/>
    <n v="29435"/>
    <n v="178"/>
    <x v="5"/>
    <s v="ChillVibes"/>
    <n v="8.6602037169406718E-2"/>
  </r>
  <r>
    <s v="SP223"/>
    <x v="1"/>
    <d v="2024-06-19T00:00:00"/>
    <x v="0"/>
    <s v="Whatâ€™s your vibe today? #SpotifyHits"/>
    <n v="1224"/>
    <n v="168"/>
    <n v="199"/>
    <n v="54232"/>
    <n v="52844"/>
    <n v="271"/>
    <x v="6"/>
    <s v="IndieWave"/>
    <n v="2.9336922849977874E-2"/>
  </r>
  <r>
    <s v="SP224"/>
    <x v="1"/>
    <d v="2024-12-10T00:00:00"/>
    <x v="0"/>
    <s v="From pop to podcasts, itâ€™s all here."/>
    <n v="4673"/>
    <n v="270"/>
    <n v="93"/>
    <n v="45260"/>
    <n v="57513"/>
    <n v="103"/>
    <x v="5"/>
    <s v="ChillVibes"/>
    <n v="0.11126822801590809"/>
  </r>
  <r>
    <s v="SP225"/>
    <x v="2"/>
    <d v="2024-02-01T00:00:00"/>
    <x v="0"/>
    <s v="Wrapped is here! Relive your top tracks ðŸŽ§"/>
    <n v="1432"/>
    <n v="437"/>
    <n v="267"/>
    <n v="40634"/>
    <n v="54511"/>
    <n v="197"/>
    <x v="3"/>
    <s v="IndieWave"/>
    <n v="5.2566815966924252E-2"/>
  </r>
  <r>
    <s v="SP226"/>
    <x v="1"/>
    <d v="2024-01-17T00:00:00"/>
    <x v="1"/>
    <s v="New music just dropped. Hit play!"/>
    <n v="2174"/>
    <n v="499"/>
    <n v="212"/>
    <n v="54938"/>
    <n v="27190"/>
    <n v="265"/>
    <x v="2"/>
    <s v="ChillVibes"/>
    <n v="5.2513742764570971E-2"/>
  </r>
  <r>
    <s v="SP227"/>
    <x v="2"/>
    <d v="2025-03-22T00:00:00"/>
    <x v="0"/>
    <s v="Music that moves youâ€”only on Spotify."/>
    <n v="4308"/>
    <n v="171"/>
    <n v="106"/>
    <n v="36955"/>
    <n v="23949"/>
    <n v="294"/>
    <x v="3"/>
    <s v="IndieWave"/>
    <n v="0.12406981463942633"/>
  </r>
  <r>
    <s v="SP228"/>
    <x v="2"/>
    <d v="2024-05-30T00:00:00"/>
    <x v="2"/>
    <s v="Whatâ€™s your vibe today? #SpotifyHits"/>
    <n v="1060"/>
    <n v="442"/>
    <n v="319"/>
    <n v="57194"/>
    <n v="24258"/>
    <n v="101"/>
    <x v="7"/>
    <s v="SummerBeats"/>
    <n v="3.1839004091338254E-2"/>
  </r>
  <r>
    <s v="SP229"/>
    <x v="2"/>
    <d v="2024-02-24T00:00:00"/>
    <x v="0"/>
    <s v="Music that moves youâ€”only on Spotify."/>
    <n v="4653"/>
    <n v="226"/>
    <n v="349"/>
    <n v="56876"/>
    <n v="28452"/>
    <n v="257"/>
    <x v="3"/>
    <s v="IndieWave"/>
    <n v="9.191926295801392E-2"/>
  </r>
  <r>
    <s v="SP230"/>
    <x v="2"/>
    <d v="2025-05-14T00:00:00"/>
    <x v="0"/>
    <s v="Discover fresh beats on Spotify!"/>
    <n v="1701"/>
    <n v="272"/>
    <n v="385"/>
    <n v="47496"/>
    <n v="40832"/>
    <n v="246"/>
    <x v="3"/>
    <s v="IndieWave"/>
    <n v="4.9646286003031836E-2"/>
  </r>
  <r>
    <s v="SP231"/>
    <x v="0"/>
    <d v="2024-03-28T00:00:00"/>
    <x v="0"/>
    <s v="Whatâ€™s your vibe today? #SpotifyHits"/>
    <n v="1673"/>
    <n v="280"/>
    <n v="67"/>
    <n v="29847"/>
    <n v="48016"/>
    <n v="213"/>
    <x v="0"/>
    <s v="ChillVibes"/>
    <n v="6.76784936509532E-2"/>
  </r>
  <r>
    <s v="SP232"/>
    <x v="2"/>
    <d v="2025-03-07T00:00:00"/>
    <x v="0"/>
    <s v="Top trending tracks updated daily!"/>
    <n v="4310"/>
    <n v="284"/>
    <n v="306"/>
    <n v="44606"/>
    <n v="42604"/>
    <n v="290"/>
    <x v="3"/>
    <s v="IndieWave"/>
    <n v="0.10985069273191947"/>
  </r>
  <r>
    <s v="SP233"/>
    <x v="1"/>
    <d v="2024-10-20T00:00:00"/>
    <x v="0"/>
    <s v="From pop to podcasts, itâ€™s all here."/>
    <n v="2752"/>
    <n v="309"/>
    <n v="91"/>
    <n v="39038"/>
    <n v="28095"/>
    <n v="277"/>
    <x v="5"/>
    <s v="ChillVibes"/>
    <n v="8.0741841282852611E-2"/>
  </r>
  <r>
    <s v="SP234"/>
    <x v="1"/>
    <d v="2024-02-02T00:00:00"/>
    <x v="0"/>
    <s v="From pop to podcasts, itâ€™s all here."/>
    <n v="3818"/>
    <n v="115"/>
    <n v="286"/>
    <n v="25127"/>
    <n v="22277"/>
    <n v="263"/>
    <x v="5"/>
    <s v="ChillVibes"/>
    <n v="0.16790703227603773"/>
  </r>
  <r>
    <s v="SP235"/>
    <x v="2"/>
    <d v="2024-09-07T00:00:00"/>
    <x v="0"/>
    <s v="Your weekend playlist is waiting."/>
    <n v="2101"/>
    <n v="411"/>
    <n v="190"/>
    <n v="41791"/>
    <n v="57090"/>
    <n v="172"/>
    <x v="3"/>
    <s v="IndieWave"/>
    <n v="6.4655069273288512E-2"/>
  </r>
  <r>
    <s v="SP236"/>
    <x v="0"/>
    <d v="2024-12-20T00:00:00"/>
    <x v="0"/>
    <s v="Discover fresh beats on Spotify!"/>
    <n v="2519"/>
    <n v="202"/>
    <n v="239"/>
    <n v="36245"/>
    <n v="48606"/>
    <n v="145"/>
    <x v="1"/>
    <s v="IndieWave"/>
    <n v="8.1666436749896543E-2"/>
  </r>
  <r>
    <s v="SP237"/>
    <x v="2"/>
    <d v="2024-01-14T00:00:00"/>
    <x v="0"/>
    <s v="Whatâ€™s your vibe today? #SpotifyHits"/>
    <n v="4502"/>
    <n v="238"/>
    <n v="386"/>
    <n v="39198"/>
    <n v="25050"/>
    <n v="297"/>
    <x v="3"/>
    <s v="IndieWave"/>
    <n v="0.13077197816215114"/>
  </r>
  <r>
    <s v="SP238"/>
    <x v="0"/>
    <d v="2025-06-15T00:00:00"/>
    <x v="0"/>
    <s v="Explore the latest podcasts now."/>
    <n v="2478"/>
    <n v="427"/>
    <n v="242"/>
    <n v="59272"/>
    <n v="37833"/>
    <n v="214"/>
    <x v="0"/>
    <s v="ChillVibes"/>
    <n v="5.3094209744904843E-2"/>
  </r>
  <r>
    <s v="SP239"/>
    <x v="1"/>
    <d v="2024-12-13T00:00:00"/>
    <x v="1"/>
    <s v="New music just dropped. Hit play!"/>
    <n v="4984"/>
    <n v="300"/>
    <n v="338"/>
    <n v="32900"/>
    <n v="31691"/>
    <n v="160"/>
    <x v="2"/>
    <s v="ChillVibes"/>
    <n v="0.17088145896656534"/>
  </r>
  <r>
    <s v="SP240"/>
    <x v="2"/>
    <d v="2024-08-29T00:00:00"/>
    <x v="0"/>
    <s v="Wrapped is here! Relive your top tracks ðŸŽ§"/>
    <n v="4774"/>
    <n v="389"/>
    <n v="358"/>
    <n v="52346"/>
    <n v="30518"/>
    <n v="277"/>
    <x v="3"/>
    <s v="IndieWave"/>
    <n v="0.10547128720437092"/>
  </r>
  <r>
    <s v="SP241"/>
    <x v="1"/>
    <d v="2024-09-15T00:00:00"/>
    <x v="0"/>
    <s v="Get into the groove with our new drop!"/>
    <n v="2145"/>
    <n v="340"/>
    <n v="85"/>
    <n v="53323"/>
    <n v="49938"/>
    <n v="104"/>
    <x v="5"/>
    <s v="ChillVibes"/>
    <n v="4.819683813738912E-2"/>
  </r>
  <r>
    <s v="SP242"/>
    <x v="1"/>
    <d v="2025-04-12T00:00:00"/>
    <x v="1"/>
    <s v="From pop to podcasts, itâ€™s all here."/>
    <n v="4315"/>
    <n v="208"/>
    <n v="273"/>
    <n v="35780"/>
    <n v="44349"/>
    <n v="133"/>
    <x v="4"/>
    <s v="ChillVibes"/>
    <n v="0.13404136389044158"/>
  </r>
  <r>
    <s v="SP243"/>
    <x v="1"/>
    <d v="2024-12-10T00:00:00"/>
    <x v="1"/>
    <s v="Wrapped is here! Relive your top tracks ðŸŽ§"/>
    <n v="2267"/>
    <n v="230"/>
    <n v="243"/>
    <n v="27904"/>
    <n v="69771"/>
    <n v="255"/>
    <x v="4"/>
    <s v="ChillVibes"/>
    <n v="9.8193807339449546E-2"/>
  </r>
  <r>
    <s v="SP244"/>
    <x v="2"/>
    <d v="2025-06-08T00:00:00"/>
    <x v="0"/>
    <s v="Music that moves youâ€”only on Spotify."/>
    <n v="4375"/>
    <n v="303"/>
    <n v="294"/>
    <n v="57468"/>
    <n v="53397"/>
    <n v="159"/>
    <x v="3"/>
    <s v="IndieWave"/>
    <n v="8.6517714206166912E-2"/>
  </r>
  <r>
    <s v="SP245"/>
    <x v="1"/>
    <d v="2025-01-09T00:00:00"/>
    <x v="1"/>
    <s v="Your weekend playlist is waiting."/>
    <n v="3817"/>
    <n v="284"/>
    <n v="204"/>
    <n v="46434"/>
    <n v="53396"/>
    <n v="104"/>
    <x v="2"/>
    <s v="ChillVibes"/>
    <n v="9.2712236723090841E-2"/>
  </r>
  <r>
    <s v="SP246"/>
    <x v="1"/>
    <d v="2024-07-08T00:00:00"/>
    <x v="1"/>
    <s v="Top trending tracks updated daily!"/>
    <n v="2981"/>
    <n v="258"/>
    <n v="168"/>
    <n v="20677"/>
    <n v="68290"/>
    <n v="130"/>
    <x v="0"/>
    <s v="ChillVibes"/>
    <n v="0.16477245248343569"/>
  </r>
  <r>
    <s v="SP247"/>
    <x v="1"/>
    <d v="2024-09-16T00:00:00"/>
    <x v="1"/>
    <s v="Your weekend playlist is waiting."/>
    <n v="3300"/>
    <n v="354"/>
    <n v="397"/>
    <n v="56773"/>
    <n v="72110"/>
    <n v="163"/>
    <x v="4"/>
    <s v="ChillVibes"/>
    <n v="7.1354340971940891E-2"/>
  </r>
  <r>
    <s v="SP248"/>
    <x v="2"/>
    <d v="2024-06-14T00:00:00"/>
    <x v="2"/>
    <s v="Wrapped is here! Relive your top tracks ðŸŽ§"/>
    <n v="4722"/>
    <n v="310"/>
    <n v="344"/>
    <n v="27911"/>
    <n v="19000"/>
    <n v="225"/>
    <x v="7"/>
    <s v="SummerBeats"/>
    <n v="0.19261223173659131"/>
  </r>
  <r>
    <s v="SP249"/>
    <x v="0"/>
    <d v="2024-03-06T00:00:00"/>
    <x v="0"/>
    <s v="Whatâ€™s your vibe today? #SpotifyHits"/>
    <n v="3529"/>
    <n v="263"/>
    <n v="107"/>
    <n v="26570"/>
    <n v="19367"/>
    <n v="96"/>
    <x v="1"/>
    <s v="IndieWave"/>
    <n v="0.14674444862627023"/>
  </r>
  <r>
    <s v="SP250"/>
    <x v="1"/>
    <d v="2025-05-15T00:00:00"/>
    <x v="0"/>
    <s v="Your weekend playlist is waiting."/>
    <n v="4782"/>
    <n v="210"/>
    <n v="311"/>
    <n v="29793"/>
    <n v="37543"/>
    <n v="145"/>
    <x v="5"/>
    <s v="ChillVibes"/>
    <n v="0.17799483100057059"/>
  </r>
  <r>
    <s v="SP251"/>
    <x v="1"/>
    <d v="2024-07-07T00:00:00"/>
    <x v="0"/>
    <s v="Whatâ€™s your vibe today? #SpotifyHits"/>
    <n v="1848"/>
    <n v="417"/>
    <n v="294"/>
    <n v="57819"/>
    <n v="19798"/>
    <n v="262"/>
    <x v="6"/>
    <s v="IndieWave"/>
    <n v="4.4258807658382193E-2"/>
  </r>
  <r>
    <s v="SP252"/>
    <x v="2"/>
    <d v="2024-10-26T00:00:00"/>
    <x v="0"/>
    <s v="New music just dropped. Hit play!"/>
    <n v="4676"/>
    <n v="211"/>
    <n v="55"/>
    <n v="45917"/>
    <n v="73503"/>
    <n v="248"/>
    <x v="3"/>
    <s v="IndieWave"/>
    <n v="0.10762898272970794"/>
  </r>
  <r>
    <s v="SP253"/>
    <x v="2"/>
    <d v="2024-08-08T00:00:00"/>
    <x v="0"/>
    <s v="From pop to podcasts, itâ€™s all here."/>
    <n v="1994"/>
    <n v="197"/>
    <n v="290"/>
    <n v="49500"/>
    <n v="23343"/>
    <n v="160"/>
    <x v="3"/>
    <s v="IndieWave"/>
    <n v="5.0121212121212122E-2"/>
  </r>
  <r>
    <s v="SP254"/>
    <x v="1"/>
    <d v="2025-02-03T00:00:00"/>
    <x v="0"/>
    <s v="Whatâ€™s your vibe today? #SpotifyHits"/>
    <n v="4995"/>
    <n v="231"/>
    <n v="94"/>
    <n v="34431"/>
    <n v="32560"/>
    <n v="262"/>
    <x v="5"/>
    <s v="ChillVibes"/>
    <n v="0.15451192239551567"/>
  </r>
  <r>
    <s v="SP255"/>
    <x v="1"/>
    <d v="2024-04-03T00:00:00"/>
    <x v="1"/>
    <s v="Top trending tracks updated daily!"/>
    <n v="2291"/>
    <n v="146"/>
    <n v="399"/>
    <n v="49319"/>
    <n v="28056"/>
    <n v="90"/>
    <x v="4"/>
    <s v="ChillVibes"/>
    <n v="5.7503193495407452E-2"/>
  </r>
  <r>
    <s v="SP256"/>
    <x v="1"/>
    <d v="2024-07-08T00:00:00"/>
    <x v="1"/>
    <s v="Wrapped is here! Relive your top tracks ðŸŽ§"/>
    <n v="2304"/>
    <n v="289"/>
    <n v="161"/>
    <n v="52645"/>
    <n v="66262"/>
    <n v="146"/>
    <x v="2"/>
    <s v="ChillVibes"/>
    <n v="5.2312660271630736E-2"/>
  </r>
  <r>
    <s v="SP257"/>
    <x v="1"/>
    <d v="2024-06-08T00:00:00"/>
    <x v="1"/>
    <s v="Top trending tracks updated daily!"/>
    <n v="3413"/>
    <n v="326"/>
    <n v="86"/>
    <n v="44680"/>
    <n v="52719"/>
    <n v="272"/>
    <x v="4"/>
    <s v="ChillVibes"/>
    <n v="8.5608773500447627E-2"/>
  </r>
  <r>
    <s v="SP258"/>
    <x v="2"/>
    <d v="2025-03-20T00:00:00"/>
    <x v="2"/>
    <s v="From pop to podcasts, itâ€™s all here."/>
    <n v="1453"/>
    <n v="156"/>
    <n v="178"/>
    <n v="52980"/>
    <n v="57180"/>
    <n v="286"/>
    <x v="7"/>
    <s v="SummerBeats"/>
    <n v="3.3729709324273313E-2"/>
  </r>
  <r>
    <s v="SP259"/>
    <x v="1"/>
    <d v="2025-01-19T00:00:00"/>
    <x v="1"/>
    <s v="Music that moves youâ€”only on Spotify."/>
    <n v="1651"/>
    <n v="480"/>
    <n v="282"/>
    <n v="32140"/>
    <n v="70560"/>
    <n v="138"/>
    <x v="0"/>
    <s v="ChillVibes"/>
    <n v="7.5077784691972627E-2"/>
  </r>
  <r>
    <s v="SP260"/>
    <x v="1"/>
    <d v="2025-01-05T00:00:00"/>
    <x v="1"/>
    <s v="Explore the latest podcasts now."/>
    <n v="3341"/>
    <n v="154"/>
    <n v="123"/>
    <n v="43369"/>
    <n v="49035"/>
    <n v="128"/>
    <x v="2"/>
    <s v="ChillVibes"/>
    <n v="8.3423643616408028E-2"/>
  </r>
  <r>
    <s v="SP261"/>
    <x v="1"/>
    <d v="2024-11-16T00:00:00"/>
    <x v="0"/>
    <s v="From pop to podcasts, itâ€™s all here."/>
    <n v="2972"/>
    <n v="263"/>
    <n v="308"/>
    <n v="51740"/>
    <n v="28214"/>
    <n v="190"/>
    <x v="6"/>
    <s v="IndieWave"/>
    <n v="6.8477000386548123E-2"/>
  </r>
  <r>
    <s v="SP262"/>
    <x v="1"/>
    <d v="2024-11-30T00:00:00"/>
    <x v="1"/>
    <s v="Explore the latest podcasts now."/>
    <n v="4963"/>
    <n v="255"/>
    <n v="193"/>
    <n v="44386"/>
    <n v="28415"/>
    <n v="174"/>
    <x v="2"/>
    <s v="ChillVibes"/>
    <n v="0.12190780876853062"/>
  </r>
  <r>
    <s v="SP263"/>
    <x v="2"/>
    <d v="2024-03-27T00:00:00"/>
    <x v="0"/>
    <s v="Music that moves youâ€”only on Spotify."/>
    <n v="2399"/>
    <n v="191"/>
    <n v="221"/>
    <n v="51603"/>
    <n v="40033"/>
    <n v="173"/>
    <x v="3"/>
    <s v="IndieWave"/>
    <n v="5.4473577117609438E-2"/>
  </r>
  <r>
    <s v="SP264"/>
    <x v="2"/>
    <d v="2025-05-31T00:00:00"/>
    <x v="2"/>
    <s v="Get into the groove with our new drop!"/>
    <n v="2162"/>
    <n v="318"/>
    <n v="83"/>
    <n v="46719"/>
    <n v="20482"/>
    <n v="185"/>
    <x v="7"/>
    <s v="SummerBeats"/>
    <n v="5.4859907104176028E-2"/>
  </r>
  <r>
    <s v="SP265"/>
    <x v="1"/>
    <d v="2025-06-17T00:00:00"/>
    <x v="1"/>
    <s v="Explore the latest podcasts now."/>
    <n v="4341"/>
    <n v="141"/>
    <n v="63"/>
    <n v="50081"/>
    <n v="27507"/>
    <n v="221"/>
    <x v="4"/>
    <s v="ChillVibes"/>
    <n v="9.0752980172121162E-2"/>
  </r>
  <r>
    <s v="SP266"/>
    <x v="0"/>
    <d v="2024-05-30T00:00:00"/>
    <x v="1"/>
    <s v="Get into the groove with our new drop!"/>
    <n v="2448"/>
    <n v="464"/>
    <n v="98"/>
    <n v="25737"/>
    <n v="48545"/>
    <n v="246"/>
    <x v="5"/>
    <s v="Wrapped2024"/>
    <n v="0.11695224773672146"/>
  </r>
  <r>
    <s v="SP267"/>
    <x v="2"/>
    <d v="2024-11-08T00:00:00"/>
    <x v="0"/>
    <s v="Top trending tracks updated daily!"/>
    <n v="2471"/>
    <n v="166"/>
    <n v="320"/>
    <n v="48254"/>
    <n v="46900"/>
    <n v="111"/>
    <x v="3"/>
    <s v="IndieWave"/>
    <n v="6.1279893894806647E-2"/>
  </r>
  <r>
    <s v="SP268"/>
    <x v="2"/>
    <d v="2024-03-17T00:00:00"/>
    <x v="2"/>
    <s v="Explore the latest podcasts now."/>
    <n v="2692"/>
    <n v="446"/>
    <n v="216"/>
    <n v="45818"/>
    <n v="62723"/>
    <n v="85"/>
    <x v="7"/>
    <s v="SummerBeats"/>
    <n v="7.3202671439172376E-2"/>
  </r>
  <r>
    <s v="SP269"/>
    <x v="2"/>
    <d v="2024-06-21T00:00:00"/>
    <x v="2"/>
    <s v="Music that moves youâ€”only on Spotify."/>
    <n v="4621"/>
    <n v="374"/>
    <n v="298"/>
    <n v="56979"/>
    <n v="24098"/>
    <n v="205"/>
    <x v="7"/>
    <s v="SummerBeats"/>
    <n v="9.2893873181347508E-2"/>
  </r>
  <r>
    <s v="SP270"/>
    <x v="1"/>
    <d v="2024-11-13T00:00:00"/>
    <x v="1"/>
    <s v="New music just dropped. Hit play!"/>
    <n v="1409"/>
    <n v="466"/>
    <n v="105"/>
    <n v="58923"/>
    <n v="38753"/>
    <n v="265"/>
    <x v="4"/>
    <s v="ChillVibes"/>
    <n v="3.3603177027646251E-2"/>
  </r>
  <r>
    <s v="SP271"/>
    <x v="1"/>
    <d v="2025-02-05T00:00:00"/>
    <x v="1"/>
    <s v="Discover fresh beats on Spotify!"/>
    <n v="3029"/>
    <n v="440"/>
    <n v="66"/>
    <n v="23815"/>
    <n v="47895"/>
    <n v="210"/>
    <x v="4"/>
    <s v="ChillVibes"/>
    <n v="0.14843585975225698"/>
  </r>
  <r>
    <s v="SP272"/>
    <x v="1"/>
    <d v="2024-11-07T00:00:00"/>
    <x v="0"/>
    <s v="Explore the latest podcasts now."/>
    <n v="2229"/>
    <n v="395"/>
    <n v="328"/>
    <n v="56921"/>
    <n v="37176"/>
    <n v="126"/>
    <x v="6"/>
    <s v="IndieWave"/>
    <n v="5.1861351697967357E-2"/>
  </r>
  <r>
    <s v="SP273"/>
    <x v="1"/>
    <d v="2024-02-12T00:00:00"/>
    <x v="0"/>
    <s v="Explore the latest podcasts now."/>
    <n v="2691"/>
    <n v="486"/>
    <n v="206"/>
    <n v="51133"/>
    <n v="44583"/>
    <n v="276"/>
    <x v="5"/>
    <s v="ChillVibes"/>
    <n v="6.6160796354604659E-2"/>
  </r>
  <r>
    <s v="SP274"/>
    <x v="0"/>
    <d v="2024-10-08T00:00:00"/>
    <x v="0"/>
    <s v="Explore the latest podcasts now."/>
    <n v="2110"/>
    <n v="384"/>
    <n v="236"/>
    <n v="49965"/>
    <n v="61555"/>
    <n v="195"/>
    <x v="1"/>
    <s v="IndieWave"/>
    <n v="5.4638246772740921E-2"/>
  </r>
  <r>
    <s v="SP275"/>
    <x v="0"/>
    <d v="2024-02-19T00:00:00"/>
    <x v="0"/>
    <s v="Wrapped is here! Relive your top tracks ðŸŽ§"/>
    <n v="4752"/>
    <n v="449"/>
    <n v="309"/>
    <n v="58530"/>
    <n v="26630"/>
    <n v="234"/>
    <x v="1"/>
    <s v="IndieWave"/>
    <n v="9.4139757389372969E-2"/>
  </r>
  <r>
    <s v="SP276"/>
    <x v="1"/>
    <d v="2025-03-04T00:00:00"/>
    <x v="0"/>
    <s v="Discover fresh beats on Spotify!"/>
    <n v="2177"/>
    <n v="258"/>
    <n v="292"/>
    <n v="47276"/>
    <n v="51324"/>
    <n v="143"/>
    <x v="5"/>
    <s v="ChillVibes"/>
    <n v="5.7682545054573146E-2"/>
  </r>
  <r>
    <s v="SP277"/>
    <x v="0"/>
    <d v="2025-02-03T00:00:00"/>
    <x v="1"/>
    <s v="New music just dropped. Hit play!"/>
    <n v="1205"/>
    <n v="486"/>
    <n v="269"/>
    <n v="23341"/>
    <n v="42411"/>
    <n v="184"/>
    <x v="5"/>
    <s v="Wrapped2024"/>
    <n v="8.3972409065592737E-2"/>
  </r>
  <r>
    <s v="SP278"/>
    <x v="0"/>
    <d v="2024-12-02T00:00:00"/>
    <x v="0"/>
    <s v="Top trending tracks updated daily!"/>
    <n v="3194"/>
    <n v="292"/>
    <n v="245"/>
    <n v="56371"/>
    <n v="65597"/>
    <n v="163"/>
    <x v="0"/>
    <s v="ChillVibes"/>
    <n v="6.6186514342481059E-2"/>
  </r>
  <r>
    <s v="SP279"/>
    <x v="1"/>
    <d v="2025-01-19T00:00:00"/>
    <x v="1"/>
    <s v="New music just dropped. Hit play!"/>
    <n v="3507"/>
    <n v="295"/>
    <n v="371"/>
    <n v="20410"/>
    <n v="53965"/>
    <n v="212"/>
    <x v="0"/>
    <s v="ChillVibes"/>
    <n v="0.20445859872611466"/>
  </r>
  <r>
    <s v="SP280"/>
    <x v="1"/>
    <d v="2024-09-28T00:00:00"/>
    <x v="1"/>
    <s v="Wrapped is here! Relive your top tracks ðŸŽ§"/>
    <n v="4471"/>
    <n v="317"/>
    <n v="249"/>
    <n v="44862"/>
    <n v="33365"/>
    <n v="184"/>
    <x v="4"/>
    <s v="ChillVibes"/>
    <n v="0.1122776514644911"/>
  </r>
  <r>
    <s v="SP281"/>
    <x v="0"/>
    <d v="2024-01-07T00:00:00"/>
    <x v="0"/>
    <s v="Top trending tracks updated daily!"/>
    <n v="4931"/>
    <n v="469"/>
    <n v="193"/>
    <n v="56701"/>
    <n v="69437"/>
    <n v="291"/>
    <x v="0"/>
    <s v="ChillVibes"/>
    <n v="9.8640235621946709E-2"/>
  </r>
  <r>
    <s v="SP282"/>
    <x v="1"/>
    <d v="2024-02-21T00:00:00"/>
    <x v="1"/>
    <s v="Get into the groove with our new drop!"/>
    <n v="2604"/>
    <n v="439"/>
    <n v="148"/>
    <n v="58468"/>
    <n v="39629"/>
    <n v="163"/>
    <x v="2"/>
    <s v="ChillVibes"/>
    <n v="5.4576862557296296E-2"/>
  </r>
  <r>
    <s v="SP283"/>
    <x v="0"/>
    <d v="2024-08-27T00:00:00"/>
    <x v="0"/>
    <s v="Music that moves youâ€”only on Spotify."/>
    <n v="4197"/>
    <n v="359"/>
    <n v="280"/>
    <n v="56048"/>
    <n v="70930"/>
    <n v="295"/>
    <x v="1"/>
    <s v="IndieWave"/>
    <n v="8.628318584070796E-2"/>
  </r>
  <r>
    <s v="SP284"/>
    <x v="0"/>
    <d v="2024-10-24T00:00:00"/>
    <x v="1"/>
    <s v="Top trending tracks updated daily!"/>
    <n v="1914"/>
    <n v="255"/>
    <n v="156"/>
    <n v="27660"/>
    <n v="47776"/>
    <n v="111"/>
    <x v="5"/>
    <s v="Wrapped2024"/>
    <n v="8.4056399132321047E-2"/>
  </r>
  <r>
    <s v="SP285"/>
    <x v="2"/>
    <d v="2025-01-29T00:00:00"/>
    <x v="0"/>
    <s v="New music just dropped. Hit play!"/>
    <n v="1334"/>
    <n v="357"/>
    <n v="257"/>
    <n v="56910"/>
    <n v="70606"/>
    <n v="228"/>
    <x v="3"/>
    <s v="IndieWave"/>
    <n v="3.4229485151994379E-2"/>
  </r>
  <r>
    <s v="SP286"/>
    <x v="0"/>
    <d v="2024-05-01T00:00:00"/>
    <x v="0"/>
    <s v="Get into the groove with our new drop!"/>
    <n v="3359"/>
    <n v="137"/>
    <n v="387"/>
    <n v="33861"/>
    <n v="47257"/>
    <n v="198"/>
    <x v="1"/>
    <s v="IndieWave"/>
    <n v="0.11467469950680724"/>
  </r>
  <r>
    <s v="SP287"/>
    <x v="2"/>
    <d v="2024-06-25T00:00:00"/>
    <x v="0"/>
    <s v="Your weekend playlist is waiting."/>
    <n v="2172"/>
    <n v="338"/>
    <n v="70"/>
    <n v="30515"/>
    <n v="57853"/>
    <n v="156"/>
    <x v="3"/>
    <s v="IndieWave"/>
    <n v="8.4548582664263475E-2"/>
  </r>
  <r>
    <s v="SP288"/>
    <x v="1"/>
    <d v="2024-08-09T00:00:00"/>
    <x v="1"/>
    <s v="From pop to podcasts, itâ€™s all here."/>
    <n v="4877"/>
    <n v="442"/>
    <n v="236"/>
    <n v="52673"/>
    <n v="48241"/>
    <n v="114"/>
    <x v="4"/>
    <s v="ChillVibes"/>
    <n v="0.10546200140489435"/>
  </r>
  <r>
    <s v="SP289"/>
    <x v="0"/>
    <d v="2025-01-21T00:00:00"/>
    <x v="1"/>
    <s v="New music just dropped. Hit play!"/>
    <n v="4918"/>
    <n v="440"/>
    <n v="149"/>
    <n v="53269"/>
    <n v="64370"/>
    <n v="269"/>
    <x v="5"/>
    <s v="Wrapped2024"/>
    <n v="0.10338095327488783"/>
  </r>
  <r>
    <s v="SP290"/>
    <x v="1"/>
    <d v="2024-08-13T00:00:00"/>
    <x v="0"/>
    <s v="Explore the latest podcasts now."/>
    <n v="3418"/>
    <n v="107"/>
    <n v="221"/>
    <n v="23927"/>
    <n v="26182"/>
    <n v="155"/>
    <x v="6"/>
    <s v="IndieWave"/>
    <n v="0.1565595352530614"/>
  </r>
  <r>
    <s v="SP291"/>
    <x v="0"/>
    <d v="2024-06-29T00:00:00"/>
    <x v="0"/>
    <s v="Your weekend playlist is waiting."/>
    <n v="2088"/>
    <n v="490"/>
    <n v="124"/>
    <n v="46544"/>
    <n v="69346"/>
    <n v="178"/>
    <x v="0"/>
    <s v="ChillVibes"/>
    <n v="5.8052595393606049E-2"/>
  </r>
  <r>
    <s v="SP292"/>
    <x v="1"/>
    <d v="2024-11-03T00:00:00"/>
    <x v="1"/>
    <s v="Explore the latest podcasts now."/>
    <n v="3061"/>
    <n v="320"/>
    <n v="76"/>
    <n v="26640"/>
    <n v="24306"/>
    <n v="112"/>
    <x v="2"/>
    <s v="ChillVibes"/>
    <n v="0.12976726726726726"/>
  </r>
  <r>
    <s v="SP293"/>
    <x v="2"/>
    <d v="2025-04-18T00:00:00"/>
    <x v="2"/>
    <s v="Your weekend playlist is waiting."/>
    <n v="1265"/>
    <n v="230"/>
    <n v="364"/>
    <n v="41312"/>
    <n v="50382"/>
    <n v="106"/>
    <x v="7"/>
    <s v="SummerBeats"/>
    <n v="4.4999031758326875E-2"/>
  </r>
  <r>
    <s v="SP294"/>
    <x v="0"/>
    <d v="2024-12-27T00:00:00"/>
    <x v="0"/>
    <s v="From pop to podcasts, itâ€™s all here."/>
    <n v="1436"/>
    <n v="219"/>
    <n v="229"/>
    <n v="58488"/>
    <n v="24314"/>
    <n v="147"/>
    <x v="1"/>
    <s v="IndieWave"/>
    <n v="3.221173574066475E-2"/>
  </r>
  <r>
    <s v="SP295"/>
    <x v="0"/>
    <d v="2025-03-08T00:00:00"/>
    <x v="1"/>
    <s v="Top trending tracks updated daily!"/>
    <n v="2244"/>
    <n v="392"/>
    <n v="231"/>
    <n v="25834"/>
    <n v="50906"/>
    <n v="165"/>
    <x v="5"/>
    <s v="Wrapped2024"/>
    <n v="0.1109777812185492"/>
  </r>
  <r>
    <s v="SP296"/>
    <x v="1"/>
    <d v="2025-03-20T00:00:00"/>
    <x v="1"/>
    <s v="Your weekend playlist is waiting."/>
    <n v="3393"/>
    <n v="104"/>
    <n v="79"/>
    <n v="30025"/>
    <n v="21593"/>
    <n v="165"/>
    <x v="2"/>
    <s v="ChillVibes"/>
    <n v="0.1191007493755204"/>
  </r>
  <r>
    <s v="SP297"/>
    <x v="1"/>
    <d v="2024-11-16T00:00:00"/>
    <x v="0"/>
    <s v="Explore the latest podcasts now."/>
    <n v="2901"/>
    <n v="108"/>
    <n v="86"/>
    <n v="51777"/>
    <n v="23773"/>
    <n v="160"/>
    <x v="6"/>
    <s v="IndieWave"/>
    <n v="5.9775576027966085E-2"/>
  </r>
  <r>
    <s v="SP298"/>
    <x v="1"/>
    <d v="2025-06-30T00:00:00"/>
    <x v="0"/>
    <s v="Whatâ€™s your vibe today? #SpotifyHits"/>
    <n v="2275"/>
    <n v="285"/>
    <n v="125"/>
    <n v="43970"/>
    <n v="74761"/>
    <n v="83"/>
    <x v="5"/>
    <s v="ChillVibes"/>
    <n v="6.1064362065044349E-2"/>
  </r>
  <r>
    <s v="SP299"/>
    <x v="1"/>
    <d v="2024-01-12T00:00:00"/>
    <x v="1"/>
    <s v="Wrapped is here! Relive your top tracks ðŸŽ§"/>
    <n v="2227"/>
    <n v="494"/>
    <n v="161"/>
    <n v="51651"/>
    <n v="68074"/>
    <n v="240"/>
    <x v="4"/>
    <s v="ChillVibes"/>
    <n v="5.5797564422760453E-2"/>
  </r>
  <r>
    <s v="SP300"/>
    <x v="0"/>
    <d v="2024-02-07T00:00:00"/>
    <x v="0"/>
    <s v="Music that moves youâ€”only on Spotify."/>
    <n v="1883"/>
    <n v="432"/>
    <n v="397"/>
    <n v="28759"/>
    <n v="18691"/>
    <n v="270"/>
    <x v="0"/>
    <s v="ChillVibes"/>
    <n v="9.430091449633158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E1869-BF6D-490D-BF09-D57AE6F437D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5:C14" firstHeaderRow="0" firstDataRow="1" firstDataCol="1"/>
  <pivotFields count="14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dataField="1" showAll="0" sortType="descending">
      <items count="9">
        <item x="1"/>
        <item x="4"/>
        <item x="7"/>
        <item x="3"/>
        <item x="2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11"/>
  </rowFields>
  <rowItems count="9">
    <i>
      <x v="5"/>
    </i>
    <i>
      <x v="7"/>
    </i>
    <i>
      <x v="1"/>
    </i>
    <i>
      <x v="3"/>
    </i>
    <i>
      <x v="4"/>
    </i>
    <i>
      <x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 Used" fld="11" subtotal="count" baseField="0" baseItem="0"/>
    <dataField name="Average of Engagement Rate" fld="13" subtotal="average" baseField="0" baseItem="0" numFmtId="2"/>
  </dataFields>
  <formats count="1">
    <format dxfId="11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AEBD5-1797-4569-BBD3-E991FD1736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6:F11" firstHeaderRow="1" firstDataRow="2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4">
        <item x="2"/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dataField="1"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Engagement Rate" fld="13" subtotal="average" baseField="0" baseItem="0" numFmtId="1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  <format dxfId="0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C383-EF7C-447F-BC65-9778AE6C8885}">
  <sheetPr>
    <tabColor theme="9" tint="-0.249977111117893"/>
  </sheetPr>
  <dimension ref="A2:F14"/>
  <sheetViews>
    <sheetView workbookViewId="0">
      <selection activeCell="E25" sqref="E25"/>
    </sheetView>
  </sheetViews>
  <sheetFormatPr defaultRowHeight="14.4" x14ac:dyDescent="0.3"/>
  <cols>
    <col min="1" max="1" width="32" bestFit="1" customWidth="1"/>
    <col min="2" max="2" width="21.33203125" bestFit="1" customWidth="1"/>
    <col min="3" max="3" width="25.77734375" bestFit="1" customWidth="1"/>
    <col min="4" max="4" width="32.109375" bestFit="1" customWidth="1"/>
    <col min="5" max="5" width="31.21875" bestFit="1" customWidth="1"/>
    <col min="6" max="6" width="29.6640625" bestFit="1" customWidth="1"/>
    <col min="7" max="7" width="12" bestFit="1" customWidth="1"/>
    <col min="8" max="8" width="16.77734375" bestFit="1" customWidth="1"/>
    <col min="9" max="9" width="28.6640625" bestFit="1" customWidth="1"/>
    <col min="10" max="10" width="10.77734375" bestFit="1" customWidth="1"/>
  </cols>
  <sheetData>
    <row r="2" spans="1:6" x14ac:dyDescent="0.3">
      <c r="A2" s="25" t="s">
        <v>378</v>
      </c>
      <c r="B2" s="25"/>
      <c r="C2" s="25"/>
      <c r="D2" s="25"/>
      <c r="E2" s="25"/>
      <c r="F2" s="25"/>
    </row>
    <row r="5" spans="1:6" x14ac:dyDescent="0.3">
      <c r="A5" s="16" t="s">
        <v>374</v>
      </c>
      <c r="B5" t="s">
        <v>376</v>
      </c>
      <c r="C5" t="s">
        <v>377</v>
      </c>
    </row>
    <row r="6" spans="1:6" x14ac:dyDescent="0.3">
      <c r="A6" s="17" t="s">
        <v>42</v>
      </c>
      <c r="B6">
        <v>57</v>
      </c>
      <c r="C6" s="22">
        <v>9.9415713745613254E-2</v>
      </c>
    </row>
    <row r="7" spans="1:6" x14ac:dyDescent="0.3">
      <c r="A7" s="17" t="s">
        <v>17</v>
      </c>
      <c r="B7">
        <v>53</v>
      </c>
      <c r="C7" s="22">
        <v>0.10039881758986871</v>
      </c>
    </row>
    <row r="8" spans="1:6" x14ac:dyDescent="0.3">
      <c r="A8" s="17" t="s">
        <v>39</v>
      </c>
      <c r="B8">
        <v>34</v>
      </c>
      <c r="C8" s="22">
        <v>8.4104102259874289E-2</v>
      </c>
    </row>
    <row r="9" spans="1:6" x14ac:dyDescent="0.3">
      <c r="A9" s="17" t="s">
        <v>33</v>
      </c>
      <c r="B9">
        <v>34</v>
      </c>
      <c r="C9" s="22">
        <v>8.640329129367573E-2</v>
      </c>
    </row>
    <row r="10" spans="1:6" x14ac:dyDescent="0.3">
      <c r="A10" s="17" t="s">
        <v>27</v>
      </c>
      <c r="B10">
        <v>33</v>
      </c>
      <c r="C10" s="22">
        <v>9.4160897902485829E-2</v>
      </c>
    </row>
    <row r="11" spans="1:6" x14ac:dyDescent="0.3">
      <c r="A11" s="17" t="s">
        <v>21</v>
      </c>
      <c r="B11">
        <v>33</v>
      </c>
      <c r="C11" s="22">
        <v>9.0257921312820288E-2</v>
      </c>
    </row>
    <row r="12" spans="1:6" x14ac:dyDescent="0.3">
      <c r="A12" s="17" t="s">
        <v>58</v>
      </c>
      <c r="B12">
        <v>29</v>
      </c>
      <c r="C12" s="22">
        <v>9.010688153503349E-2</v>
      </c>
    </row>
    <row r="13" spans="1:6" x14ac:dyDescent="0.3">
      <c r="A13" s="17" t="s">
        <v>45</v>
      </c>
      <c r="B13">
        <v>27</v>
      </c>
      <c r="C13" s="22">
        <v>8.7432152698750445E-2</v>
      </c>
    </row>
    <row r="14" spans="1:6" x14ac:dyDescent="0.3">
      <c r="A14" s="17" t="s">
        <v>375</v>
      </c>
      <c r="B14">
        <v>300</v>
      </c>
      <c r="C14" s="15">
        <v>9.2815577060236715E-2</v>
      </c>
    </row>
  </sheetData>
  <mergeCells count="1">
    <mergeCell ref="A2:F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CFCD-1AE9-45BC-81F4-2E97DAB61723}">
  <sheetPr>
    <tabColor rgb="FF92D050"/>
  </sheetPr>
  <dimension ref="B3:O11"/>
  <sheetViews>
    <sheetView tabSelected="1" topLeftCell="B1" workbookViewId="0">
      <selection activeCell="U1" sqref="U1:U1048576"/>
    </sheetView>
  </sheetViews>
  <sheetFormatPr defaultRowHeight="14.4" x14ac:dyDescent="0.3"/>
  <cols>
    <col min="2" max="2" width="28.109375" bestFit="1" customWidth="1"/>
    <col min="3" max="3" width="16.88671875" bestFit="1" customWidth="1"/>
    <col min="4" max="5" width="6.5546875" bestFit="1" customWidth="1"/>
    <col min="6" max="6" width="12.109375" bestFit="1" customWidth="1"/>
  </cols>
  <sheetData>
    <row r="3" spans="2:15" ht="15.6" x14ac:dyDescent="0.3">
      <c r="B3" s="26" t="s">
        <v>380</v>
      </c>
      <c r="C3" s="26"/>
      <c r="D3" s="26"/>
      <c r="E3" s="26"/>
      <c r="F3" s="26"/>
      <c r="H3" s="27" t="s">
        <v>381</v>
      </c>
      <c r="I3" s="27"/>
      <c r="J3" s="27"/>
      <c r="K3" s="27"/>
      <c r="L3" s="27"/>
      <c r="M3" s="27"/>
      <c r="N3" s="27"/>
      <c r="O3" s="27"/>
    </row>
    <row r="6" spans="2:15" ht="15.6" x14ac:dyDescent="0.3">
      <c r="B6" s="18" t="s">
        <v>377</v>
      </c>
      <c r="C6" s="18" t="s">
        <v>379</v>
      </c>
      <c r="D6" s="19"/>
      <c r="E6" s="19"/>
      <c r="F6" s="19"/>
    </row>
    <row r="7" spans="2:15" ht="15.6" x14ac:dyDescent="0.3">
      <c r="B7" s="18" t="s">
        <v>374</v>
      </c>
      <c r="C7" s="19" t="s">
        <v>57</v>
      </c>
      <c r="D7" s="19" t="s">
        <v>25</v>
      </c>
      <c r="E7" s="19" t="s">
        <v>15</v>
      </c>
      <c r="F7" s="19" t="s">
        <v>375</v>
      </c>
    </row>
    <row r="8" spans="2:15" ht="15.6" x14ac:dyDescent="0.3">
      <c r="B8" s="20" t="s">
        <v>14</v>
      </c>
      <c r="C8" s="21"/>
      <c r="D8" s="21">
        <v>9.5509123528654066E-2</v>
      </c>
      <c r="E8" s="21">
        <v>8.9151970703401293E-2</v>
      </c>
      <c r="F8" s="21">
        <v>9.0794830422286865E-2</v>
      </c>
    </row>
    <row r="9" spans="2:15" ht="15.6" x14ac:dyDescent="0.3">
      <c r="B9" s="20" t="s">
        <v>24</v>
      </c>
      <c r="C9" s="21"/>
      <c r="D9" s="21">
        <v>9.6350204330797537E-2</v>
      </c>
      <c r="E9" s="21">
        <v>9.5584491232904453E-2</v>
      </c>
      <c r="F9" s="21">
        <v>9.6034606364774039E-2</v>
      </c>
    </row>
    <row r="10" spans="2:15" ht="15.6" x14ac:dyDescent="0.3">
      <c r="B10" s="20" t="s">
        <v>31</v>
      </c>
      <c r="C10" s="21">
        <v>9.010688153503349E-2</v>
      </c>
      <c r="D10" s="21"/>
      <c r="E10" s="21">
        <v>8.640329129367573E-2</v>
      </c>
      <c r="F10" s="21">
        <v>8.810811854763409E-2</v>
      </c>
    </row>
    <row r="11" spans="2:15" ht="15.6" x14ac:dyDescent="0.3">
      <c r="B11" s="20" t="s">
        <v>375</v>
      </c>
      <c r="C11" s="21">
        <v>9.010688153503349E-2</v>
      </c>
      <c r="D11" s="21">
        <v>9.6174341981258432E-2</v>
      </c>
      <c r="E11" s="21">
        <v>9.1008670407556724E-2</v>
      </c>
      <c r="F11" s="21">
        <v>9.2815577060236784E-2</v>
      </c>
    </row>
  </sheetData>
  <mergeCells count="2">
    <mergeCell ref="B3:F3"/>
    <mergeCell ref="H3:O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J15" sqref="J15"/>
    </sheetView>
  </sheetViews>
  <sheetFormatPr defaultColWidth="14.44140625" defaultRowHeight="15" customHeight="1" x14ac:dyDescent="0.3"/>
  <cols>
    <col min="1" max="1" width="6.88671875" style="6" bestFit="1" customWidth="1"/>
    <col min="2" max="2" width="9.109375" style="6" bestFit="1" customWidth="1"/>
    <col min="3" max="3" width="10.33203125" style="8" bestFit="1" customWidth="1"/>
    <col min="4" max="4" width="12.33203125" style="6" bestFit="1" customWidth="1"/>
    <col min="5" max="5" width="38" style="6" bestFit="1" customWidth="1"/>
    <col min="6" max="6" width="5.109375" style="10" bestFit="1" customWidth="1"/>
    <col min="7" max="7" width="6.5546875" style="10" bestFit="1" customWidth="1"/>
    <col min="8" max="8" width="10.109375" style="10" bestFit="1" customWidth="1"/>
    <col min="9" max="9" width="11" style="10" bestFit="1" customWidth="1"/>
    <col min="10" max="10" width="6.109375" style="10" bestFit="1" customWidth="1"/>
    <col min="11" max="11" width="5.6640625" style="10" bestFit="1" customWidth="1"/>
    <col min="12" max="12" width="32" style="6" bestFit="1" customWidth="1"/>
    <col min="13" max="13" width="15.5546875" style="6" bestFit="1" customWidth="1"/>
    <col min="14" max="14" width="15.88671875" style="24" bestFit="1" customWidth="1"/>
    <col min="15" max="26" width="8.6640625" customWidth="1"/>
  </cols>
  <sheetData>
    <row r="1" spans="1:14" ht="14.4" x14ac:dyDescent="0.3">
      <c r="A1" s="12" t="s">
        <v>0</v>
      </c>
      <c r="B1" s="12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23" t="s">
        <v>373</v>
      </c>
    </row>
    <row r="2" spans="1:14" ht="14.4" x14ac:dyDescent="0.3">
      <c r="A2" s="5" t="s">
        <v>13</v>
      </c>
      <c r="B2" s="5" t="s">
        <v>14</v>
      </c>
      <c r="C2" s="7">
        <v>45781</v>
      </c>
      <c r="D2" s="5" t="s">
        <v>15</v>
      </c>
      <c r="E2" s="5" t="s">
        <v>16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5" t="s">
        <v>17</v>
      </c>
      <c r="M2" s="5" t="s">
        <v>18</v>
      </c>
      <c r="N2" s="24">
        <f>(F2+G2+H2)/I2</f>
        <v>0.13200509890939993</v>
      </c>
    </row>
    <row r="3" spans="1:14" ht="14.4" x14ac:dyDescent="0.3">
      <c r="A3" s="5" t="s">
        <v>19</v>
      </c>
      <c r="B3" s="5" t="s">
        <v>14</v>
      </c>
      <c r="C3" s="7">
        <v>45689</v>
      </c>
      <c r="D3" s="5" t="s">
        <v>15</v>
      </c>
      <c r="E3" s="5" t="s">
        <v>20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5" t="s">
        <v>21</v>
      </c>
      <c r="M3" s="5" t="s">
        <v>22</v>
      </c>
      <c r="N3" s="24">
        <f t="shared" ref="N3:N66" si="0">(F3+G3+H3)/I3</f>
        <v>8.7095334546328396E-2</v>
      </c>
    </row>
    <row r="4" spans="1:14" ht="14.4" x14ac:dyDescent="0.3">
      <c r="A4" s="5" t="s">
        <v>23</v>
      </c>
      <c r="B4" s="5" t="s">
        <v>24</v>
      </c>
      <c r="C4" s="7">
        <v>45629</v>
      </c>
      <c r="D4" s="5" t="s">
        <v>25</v>
      </c>
      <c r="E4" s="5" t="s">
        <v>26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5" t="s">
        <v>27</v>
      </c>
      <c r="M4" s="5" t="s">
        <v>18</v>
      </c>
      <c r="N4" s="24">
        <f t="shared" si="0"/>
        <v>7.0477352576105018E-2</v>
      </c>
    </row>
    <row r="5" spans="1:14" ht="14.4" x14ac:dyDescent="0.3">
      <c r="A5" s="5" t="s">
        <v>28</v>
      </c>
      <c r="B5" s="5" t="s">
        <v>14</v>
      </c>
      <c r="C5" s="7">
        <v>45629</v>
      </c>
      <c r="D5" s="5" t="s">
        <v>15</v>
      </c>
      <c r="E5" s="5" t="s">
        <v>29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5" t="s">
        <v>17</v>
      </c>
      <c r="M5" s="5" t="s">
        <v>18</v>
      </c>
      <c r="N5" s="24">
        <f t="shared" si="0"/>
        <v>0.1215714092690177</v>
      </c>
    </row>
    <row r="6" spans="1:14" ht="14.4" x14ac:dyDescent="0.3">
      <c r="A6" s="5" t="s">
        <v>30</v>
      </c>
      <c r="B6" s="5" t="s">
        <v>31</v>
      </c>
      <c r="C6" s="7">
        <v>45388</v>
      </c>
      <c r="D6" s="5" t="s">
        <v>15</v>
      </c>
      <c r="E6" s="5" t="s">
        <v>32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5" t="s">
        <v>33</v>
      </c>
      <c r="M6" s="5" t="s">
        <v>22</v>
      </c>
      <c r="N6" s="24">
        <f t="shared" si="0"/>
        <v>0.1314700217204213</v>
      </c>
    </row>
    <row r="7" spans="1:14" ht="14.4" x14ac:dyDescent="0.3">
      <c r="A7" s="5" t="s">
        <v>34</v>
      </c>
      <c r="B7" s="5" t="s">
        <v>31</v>
      </c>
      <c r="C7" s="7">
        <v>45456</v>
      </c>
      <c r="D7" s="5" t="s">
        <v>15</v>
      </c>
      <c r="E7" s="5" t="s">
        <v>35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5" t="s">
        <v>33</v>
      </c>
      <c r="M7" s="5" t="s">
        <v>22</v>
      </c>
      <c r="N7" s="24">
        <f t="shared" si="0"/>
        <v>7.4828079253761837E-2</v>
      </c>
    </row>
    <row r="8" spans="1:14" ht="14.4" x14ac:dyDescent="0.3">
      <c r="A8" s="5" t="s">
        <v>36</v>
      </c>
      <c r="B8" s="5" t="s">
        <v>24</v>
      </c>
      <c r="C8" s="7">
        <v>45645</v>
      </c>
      <c r="D8" s="5" t="s">
        <v>25</v>
      </c>
      <c r="E8" s="5" t="s">
        <v>37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5" t="s">
        <v>17</v>
      </c>
      <c r="M8" s="5" t="s">
        <v>18</v>
      </c>
      <c r="N8" s="24">
        <f t="shared" si="0"/>
        <v>0.26064752360763155</v>
      </c>
    </row>
    <row r="9" spans="1:14" ht="14.4" x14ac:dyDescent="0.3">
      <c r="A9" s="5" t="s">
        <v>38</v>
      </c>
      <c r="B9" s="5" t="s">
        <v>24</v>
      </c>
      <c r="C9" s="7">
        <v>45421</v>
      </c>
      <c r="D9" s="5" t="s">
        <v>25</v>
      </c>
      <c r="E9" s="5" t="s">
        <v>29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5" t="s">
        <v>39</v>
      </c>
      <c r="M9" s="5" t="s">
        <v>18</v>
      </c>
      <c r="N9" s="24">
        <f t="shared" si="0"/>
        <v>8.7100435029317191E-2</v>
      </c>
    </row>
    <row r="10" spans="1:14" ht="14.4" x14ac:dyDescent="0.3">
      <c r="A10" s="5" t="s">
        <v>40</v>
      </c>
      <c r="B10" s="5" t="s">
        <v>24</v>
      </c>
      <c r="C10" s="7">
        <v>45823</v>
      </c>
      <c r="D10" s="5" t="s">
        <v>15</v>
      </c>
      <c r="E10" s="5" t="s">
        <v>41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5" t="s">
        <v>42</v>
      </c>
      <c r="M10" s="5" t="s">
        <v>18</v>
      </c>
      <c r="N10" s="24">
        <f t="shared" si="0"/>
        <v>8.3943337400027115E-2</v>
      </c>
    </row>
    <row r="11" spans="1:14" ht="14.4" x14ac:dyDescent="0.3">
      <c r="A11" s="5" t="s">
        <v>43</v>
      </c>
      <c r="B11" s="5" t="s">
        <v>24</v>
      </c>
      <c r="C11" s="7">
        <v>45630</v>
      </c>
      <c r="D11" s="5" t="s">
        <v>15</v>
      </c>
      <c r="E11" s="5" t="s">
        <v>29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5" t="s">
        <v>42</v>
      </c>
      <c r="M11" s="5" t="s">
        <v>18</v>
      </c>
      <c r="N11" s="24">
        <f t="shared" si="0"/>
        <v>0.12997310581470833</v>
      </c>
    </row>
    <row r="12" spans="1:14" ht="14.4" x14ac:dyDescent="0.3">
      <c r="A12" s="5" t="s">
        <v>44</v>
      </c>
      <c r="B12" s="5" t="s">
        <v>24</v>
      </c>
      <c r="C12" s="7">
        <v>45357</v>
      </c>
      <c r="D12" s="5" t="s">
        <v>15</v>
      </c>
      <c r="E12" s="5" t="s">
        <v>16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5" t="s">
        <v>45</v>
      </c>
      <c r="M12" s="5" t="s">
        <v>22</v>
      </c>
      <c r="N12" s="24">
        <f t="shared" si="0"/>
        <v>8.4525482181632389E-2</v>
      </c>
    </row>
    <row r="13" spans="1:14" ht="14.4" x14ac:dyDescent="0.3">
      <c r="A13" s="5" t="s">
        <v>46</v>
      </c>
      <c r="B13" s="5" t="s">
        <v>14</v>
      </c>
      <c r="C13" s="7">
        <v>45426</v>
      </c>
      <c r="D13" s="5" t="s">
        <v>15</v>
      </c>
      <c r="E13" s="5" t="s">
        <v>16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5" t="s">
        <v>17</v>
      </c>
      <c r="M13" s="5" t="s">
        <v>18</v>
      </c>
      <c r="N13" s="24">
        <f t="shared" si="0"/>
        <v>5.4191936281527367E-2</v>
      </c>
    </row>
    <row r="14" spans="1:14" ht="14.4" x14ac:dyDescent="0.3">
      <c r="A14" s="5" t="s">
        <v>47</v>
      </c>
      <c r="B14" s="5" t="s">
        <v>24</v>
      </c>
      <c r="C14" s="7">
        <v>45826</v>
      </c>
      <c r="D14" s="5" t="s">
        <v>25</v>
      </c>
      <c r="E14" s="5" t="s">
        <v>16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5" t="s">
        <v>27</v>
      </c>
      <c r="M14" s="5" t="s">
        <v>18</v>
      </c>
      <c r="N14" s="24">
        <f t="shared" si="0"/>
        <v>7.4550393727863554E-2</v>
      </c>
    </row>
    <row r="15" spans="1:14" ht="14.4" x14ac:dyDescent="0.3">
      <c r="A15" s="5" t="s">
        <v>48</v>
      </c>
      <c r="B15" s="5" t="s">
        <v>24</v>
      </c>
      <c r="C15" s="7">
        <v>45573</v>
      </c>
      <c r="D15" s="5" t="s">
        <v>15</v>
      </c>
      <c r="E15" s="5" t="s">
        <v>49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5" t="s">
        <v>42</v>
      </c>
      <c r="M15" s="5" t="s">
        <v>18</v>
      </c>
      <c r="N15" s="24">
        <f t="shared" si="0"/>
        <v>8.5063484278785892E-2</v>
      </c>
    </row>
    <row r="16" spans="1:14" ht="14.4" x14ac:dyDescent="0.3">
      <c r="A16" s="5" t="s">
        <v>50</v>
      </c>
      <c r="B16" s="5" t="s">
        <v>24</v>
      </c>
      <c r="C16" s="7">
        <v>45418</v>
      </c>
      <c r="D16" s="5" t="s">
        <v>15</v>
      </c>
      <c r="E16" s="5" t="s">
        <v>51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5" t="s">
        <v>42</v>
      </c>
      <c r="M16" s="5" t="s">
        <v>18</v>
      </c>
      <c r="N16" s="24">
        <f t="shared" si="0"/>
        <v>0.11274405206444041</v>
      </c>
    </row>
    <row r="17" spans="1:14" ht="14.4" x14ac:dyDescent="0.3">
      <c r="A17" s="5" t="s">
        <v>52</v>
      </c>
      <c r="B17" s="5" t="s">
        <v>24</v>
      </c>
      <c r="C17" s="7">
        <v>45655</v>
      </c>
      <c r="D17" s="5" t="s">
        <v>25</v>
      </c>
      <c r="E17" s="5" t="s">
        <v>26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5" t="s">
        <v>27</v>
      </c>
      <c r="M17" s="5" t="s">
        <v>18</v>
      </c>
      <c r="N17" s="24">
        <f t="shared" si="0"/>
        <v>9.3810966751068869E-2</v>
      </c>
    </row>
    <row r="18" spans="1:14" ht="14.4" x14ac:dyDescent="0.3">
      <c r="A18" s="5" t="s">
        <v>53</v>
      </c>
      <c r="B18" s="5" t="s">
        <v>24</v>
      </c>
      <c r="C18" s="7">
        <v>45453</v>
      </c>
      <c r="D18" s="5" t="s">
        <v>15</v>
      </c>
      <c r="E18" s="5" t="s">
        <v>35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5" t="s">
        <v>42</v>
      </c>
      <c r="M18" s="5" t="s">
        <v>18</v>
      </c>
      <c r="N18" s="24">
        <f t="shared" si="0"/>
        <v>4.7214969538729328E-2</v>
      </c>
    </row>
    <row r="19" spans="1:14" ht="14.4" x14ac:dyDescent="0.3">
      <c r="A19" s="5" t="s">
        <v>54</v>
      </c>
      <c r="B19" s="5" t="s">
        <v>14</v>
      </c>
      <c r="C19" s="7">
        <v>45325</v>
      </c>
      <c r="D19" s="5" t="s">
        <v>25</v>
      </c>
      <c r="E19" s="5" t="s">
        <v>32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5" t="s">
        <v>42</v>
      </c>
      <c r="M19" s="5" t="s">
        <v>55</v>
      </c>
      <c r="N19" s="24">
        <f t="shared" si="0"/>
        <v>0.1408079806679472</v>
      </c>
    </row>
    <row r="20" spans="1:14" ht="14.4" x14ac:dyDescent="0.3">
      <c r="A20" s="5" t="s">
        <v>56</v>
      </c>
      <c r="B20" s="5" t="s">
        <v>31</v>
      </c>
      <c r="C20" s="7">
        <v>45458</v>
      </c>
      <c r="D20" s="5" t="s">
        <v>57</v>
      </c>
      <c r="E20" s="5" t="s">
        <v>37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5" t="s">
        <v>58</v>
      </c>
      <c r="M20" s="5" t="s">
        <v>59</v>
      </c>
      <c r="N20" s="24">
        <f t="shared" si="0"/>
        <v>6.4255640042732362E-2</v>
      </c>
    </row>
    <row r="21" spans="1:14" ht="15.75" customHeight="1" x14ac:dyDescent="0.3">
      <c r="A21" s="5" t="s">
        <v>60</v>
      </c>
      <c r="B21" s="5" t="s">
        <v>14</v>
      </c>
      <c r="C21" s="7">
        <v>45478</v>
      </c>
      <c r="D21" s="5" t="s">
        <v>15</v>
      </c>
      <c r="E21" s="5" t="s">
        <v>51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5" t="s">
        <v>21</v>
      </c>
      <c r="M21" s="5" t="s">
        <v>22</v>
      </c>
      <c r="N21" s="24">
        <f t="shared" si="0"/>
        <v>0.15347655981879332</v>
      </c>
    </row>
    <row r="22" spans="1:14" ht="15.75" customHeight="1" x14ac:dyDescent="0.3">
      <c r="A22" s="5" t="s">
        <v>61</v>
      </c>
      <c r="B22" s="5" t="s">
        <v>14</v>
      </c>
      <c r="C22" s="7">
        <v>45603</v>
      </c>
      <c r="D22" s="5" t="s">
        <v>25</v>
      </c>
      <c r="E22" s="5" t="s">
        <v>29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5" t="s">
        <v>42</v>
      </c>
      <c r="M22" s="5" t="s">
        <v>55</v>
      </c>
      <c r="N22" s="24">
        <f t="shared" si="0"/>
        <v>4.3543867212761371E-2</v>
      </c>
    </row>
    <row r="23" spans="1:14" ht="15.75" customHeight="1" x14ac:dyDescent="0.3">
      <c r="A23" s="5" t="s">
        <v>62</v>
      </c>
      <c r="B23" s="5" t="s">
        <v>14</v>
      </c>
      <c r="C23" s="7">
        <v>45823</v>
      </c>
      <c r="D23" s="5" t="s">
        <v>15</v>
      </c>
      <c r="E23" s="5" t="s">
        <v>35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5" t="s">
        <v>17</v>
      </c>
      <c r="M23" s="5" t="s">
        <v>18</v>
      </c>
      <c r="N23" s="24">
        <f t="shared" si="0"/>
        <v>0.19548583208133888</v>
      </c>
    </row>
    <row r="24" spans="1:14" ht="15.75" customHeight="1" x14ac:dyDescent="0.3">
      <c r="A24" s="5" t="s">
        <v>63</v>
      </c>
      <c r="B24" s="5" t="s">
        <v>31</v>
      </c>
      <c r="C24" s="7">
        <v>45452</v>
      </c>
      <c r="D24" s="5" t="s">
        <v>57</v>
      </c>
      <c r="E24" s="5" t="s">
        <v>49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5" t="s">
        <v>58</v>
      </c>
      <c r="M24" s="5" t="s">
        <v>59</v>
      </c>
      <c r="N24" s="24">
        <f t="shared" si="0"/>
        <v>8.0047619047619048E-2</v>
      </c>
    </row>
    <row r="25" spans="1:14" ht="15.75" customHeight="1" x14ac:dyDescent="0.3">
      <c r="A25" s="5" t="s">
        <v>64</v>
      </c>
      <c r="B25" s="5" t="s">
        <v>24</v>
      </c>
      <c r="C25" s="7">
        <v>45583</v>
      </c>
      <c r="D25" s="5" t="s">
        <v>15</v>
      </c>
      <c r="E25" s="5" t="s">
        <v>26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5" t="s">
        <v>45</v>
      </c>
      <c r="M25" s="5" t="s">
        <v>22</v>
      </c>
      <c r="N25" s="24">
        <f t="shared" si="0"/>
        <v>0.11026748397882419</v>
      </c>
    </row>
    <row r="26" spans="1:14" ht="15.75" customHeight="1" x14ac:dyDescent="0.3">
      <c r="A26" s="5" t="s">
        <v>65</v>
      </c>
      <c r="B26" s="5" t="s">
        <v>31</v>
      </c>
      <c r="C26" s="7">
        <v>45575</v>
      </c>
      <c r="D26" s="5" t="s">
        <v>57</v>
      </c>
      <c r="E26" s="5" t="s">
        <v>49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5" t="s">
        <v>58</v>
      </c>
      <c r="M26" s="5" t="s">
        <v>59</v>
      </c>
      <c r="N26" s="24">
        <f t="shared" si="0"/>
        <v>8.1036535115831879E-2</v>
      </c>
    </row>
    <row r="27" spans="1:14" ht="15.75" customHeight="1" x14ac:dyDescent="0.3">
      <c r="A27" s="5" t="s">
        <v>66</v>
      </c>
      <c r="B27" s="5" t="s">
        <v>24</v>
      </c>
      <c r="C27" s="7">
        <v>45791</v>
      </c>
      <c r="D27" s="5" t="s">
        <v>25</v>
      </c>
      <c r="E27" s="5" t="s">
        <v>49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5" t="s">
        <v>39</v>
      </c>
      <c r="M27" s="5" t="s">
        <v>18</v>
      </c>
      <c r="N27" s="24">
        <f t="shared" si="0"/>
        <v>5.173411449857148E-2</v>
      </c>
    </row>
    <row r="28" spans="1:14" ht="15.75" customHeight="1" x14ac:dyDescent="0.3">
      <c r="A28" s="5" t="s">
        <v>67</v>
      </c>
      <c r="B28" s="5" t="s">
        <v>14</v>
      </c>
      <c r="C28" s="7">
        <v>45625</v>
      </c>
      <c r="D28" s="5" t="s">
        <v>15</v>
      </c>
      <c r="E28" s="5" t="s">
        <v>35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5" t="s">
        <v>17</v>
      </c>
      <c r="M28" s="5" t="s">
        <v>18</v>
      </c>
      <c r="N28" s="24">
        <f t="shared" si="0"/>
        <v>0.11363049929041415</v>
      </c>
    </row>
    <row r="29" spans="1:14" ht="15.75" customHeight="1" x14ac:dyDescent="0.3">
      <c r="A29" s="5" t="s">
        <v>68</v>
      </c>
      <c r="B29" s="5" t="s">
        <v>31</v>
      </c>
      <c r="C29" s="7">
        <v>45356</v>
      </c>
      <c r="D29" s="5" t="s">
        <v>57</v>
      </c>
      <c r="E29" s="5" t="s">
        <v>20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5" t="s">
        <v>58</v>
      </c>
      <c r="M29" s="5" t="s">
        <v>59</v>
      </c>
      <c r="N29" s="24">
        <f t="shared" si="0"/>
        <v>8.205676046117874E-2</v>
      </c>
    </row>
    <row r="30" spans="1:14" ht="15.75" customHeight="1" x14ac:dyDescent="0.3">
      <c r="A30" s="5" t="s">
        <v>69</v>
      </c>
      <c r="B30" s="5" t="s">
        <v>24</v>
      </c>
      <c r="C30" s="7">
        <v>45734</v>
      </c>
      <c r="D30" s="5" t="s">
        <v>25</v>
      </c>
      <c r="E30" s="5" t="s">
        <v>20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5" t="s">
        <v>27</v>
      </c>
      <c r="M30" s="5" t="s">
        <v>18</v>
      </c>
      <c r="N30" s="24">
        <f t="shared" si="0"/>
        <v>6.9526910553533799E-2</v>
      </c>
    </row>
    <row r="31" spans="1:14" ht="15.75" customHeight="1" x14ac:dyDescent="0.3">
      <c r="A31" s="5" t="s">
        <v>70</v>
      </c>
      <c r="B31" s="5" t="s">
        <v>24</v>
      </c>
      <c r="C31" s="7">
        <v>45773</v>
      </c>
      <c r="D31" s="5" t="s">
        <v>15</v>
      </c>
      <c r="E31" s="5" t="s">
        <v>16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5" t="s">
        <v>42</v>
      </c>
      <c r="M31" s="5" t="s">
        <v>18</v>
      </c>
      <c r="N31" s="24">
        <f t="shared" si="0"/>
        <v>0.10399399962497656</v>
      </c>
    </row>
    <row r="32" spans="1:14" ht="15.75" customHeight="1" x14ac:dyDescent="0.3">
      <c r="A32" s="5" t="s">
        <v>71</v>
      </c>
      <c r="B32" s="5" t="s">
        <v>14</v>
      </c>
      <c r="C32" s="7">
        <v>45658</v>
      </c>
      <c r="D32" s="5" t="s">
        <v>15</v>
      </c>
      <c r="E32" s="5" t="s">
        <v>26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5" t="s">
        <v>17</v>
      </c>
      <c r="M32" s="5" t="s">
        <v>18</v>
      </c>
      <c r="N32" s="24">
        <f t="shared" si="0"/>
        <v>8.0484684812735408E-2</v>
      </c>
    </row>
    <row r="33" spans="1:14" ht="15.75" customHeight="1" x14ac:dyDescent="0.3">
      <c r="A33" s="5" t="s">
        <v>72</v>
      </c>
      <c r="B33" s="5" t="s">
        <v>24</v>
      </c>
      <c r="C33" s="7">
        <v>45419</v>
      </c>
      <c r="D33" s="5" t="s">
        <v>25</v>
      </c>
      <c r="E33" s="5" t="s">
        <v>20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5" t="s">
        <v>17</v>
      </c>
      <c r="M33" s="5" t="s">
        <v>18</v>
      </c>
      <c r="N33" s="24">
        <f t="shared" si="0"/>
        <v>7.519889311656866E-2</v>
      </c>
    </row>
    <row r="34" spans="1:14" ht="15.75" customHeight="1" x14ac:dyDescent="0.3">
      <c r="A34" s="5" t="s">
        <v>73</v>
      </c>
      <c r="B34" s="5" t="s">
        <v>24</v>
      </c>
      <c r="C34" s="7">
        <v>45574</v>
      </c>
      <c r="D34" s="5" t="s">
        <v>25</v>
      </c>
      <c r="E34" s="5" t="s">
        <v>16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5" t="s">
        <v>39</v>
      </c>
      <c r="M34" s="5" t="s">
        <v>18</v>
      </c>
      <c r="N34" s="24">
        <f t="shared" si="0"/>
        <v>0.16177247444144061</v>
      </c>
    </row>
    <row r="35" spans="1:14" ht="15.75" customHeight="1" x14ac:dyDescent="0.3">
      <c r="A35" s="5" t="s">
        <v>74</v>
      </c>
      <c r="B35" s="5" t="s">
        <v>14</v>
      </c>
      <c r="C35" s="7">
        <v>45666</v>
      </c>
      <c r="D35" s="5" t="s">
        <v>15</v>
      </c>
      <c r="E35" s="5" t="s">
        <v>26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5" t="s">
        <v>17</v>
      </c>
      <c r="M35" s="5" t="s">
        <v>18</v>
      </c>
      <c r="N35" s="24">
        <f t="shared" si="0"/>
        <v>4.4299315445747112E-2</v>
      </c>
    </row>
    <row r="36" spans="1:14" ht="15.75" customHeight="1" x14ac:dyDescent="0.3">
      <c r="A36" s="5" t="s">
        <v>75</v>
      </c>
      <c r="B36" s="5" t="s">
        <v>24</v>
      </c>
      <c r="C36" s="7">
        <v>45785</v>
      </c>
      <c r="D36" s="5" t="s">
        <v>25</v>
      </c>
      <c r="E36" s="5" t="s">
        <v>51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5" t="s">
        <v>27</v>
      </c>
      <c r="M36" s="5" t="s">
        <v>18</v>
      </c>
      <c r="N36" s="24">
        <f t="shared" si="0"/>
        <v>9.7668038408779148E-2</v>
      </c>
    </row>
    <row r="37" spans="1:14" ht="15.75" customHeight="1" x14ac:dyDescent="0.3">
      <c r="A37" s="5" t="s">
        <v>76</v>
      </c>
      <c r="B37" s="5" t="s">
        <v>14</v>
      </c>
      <c r="C37" s="7">
        <v>45416</v>
      </c>
      <c r="D37" s="5" t="s">
        <v>15</v>
      </c>
      <c r="E37" s="5" t="s">
        <v>29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5" t="s">
        <v>21</v>
      </c>
      <c r="M37" s="5" t="s">
        <v>22</v>
      </c>
      <c r="N37" s="24">
        <f t="shared" si="0"/>
        <v>6.3600055728416843E-2</v>
      </c>
    </row>
    <row r="38" spans="1:14" ht="15.75" customHeight="1" x14ac:dyDescent="0.3">
      <c r="A38" s="5" t="s">
        <v>77</v>
      </c>
      <c r="B38" s="5" t="s">
        <v>24</v>
      </c>
      <c r="C38" s="7">
        <v>45804</v>
      </c>
      <c r="D38" s="5" t="s">
        <v>25</v>
      </c>
      <c r="E38" s="5" t="s">
        <v>20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5" t="s">
        <v>27</v>
      </c>
      <c r="M38" s="5" t="s">
        <v>18</v>
      </c>
      <c r="N38" s="24">
        <f t="shared" si="0"/>
        <v>0.10772626931567329</v>
      </c>
    </row>
    <row r="39" spans="1:14" ht="15.75" customHeight="1" x14ac:dyDescent="0.3">
      <c r="A39" s="5" t="s">
        <v>78</v>
      </c>
      <c r="B39" s="5" t="s">
        <v>14</v>
      </c>
      <c r="C39" s="7">
        <v>45545</v>
      </c>
      <c r="D39" s="5" t="s">
        <v>25</v>
      </c>
      <c r="E39" s="5" t="s">
        <v>26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5" t="s">
        <v>42</v>
      </c>
      <c r="M39" s="5" t="s">
        <v>55</v>
      </c>
      <c r="N39" s="24">
        <f t="shared" si="0"/>
        <v>3.9122543637545096E-2</v>
      </c>
    </row>
    <row r="40" spans="1:14" ht="15.75" customHeight="1" x14ac:dyDescent="0.3">
      <c r="A40" s="5" t="s">
        <v>79</v>
      </c>
      <c r="B40" s="5" t="s">
        <v>14</v>
      </c>
      <c r="C40" s="7">
        <v>45621</v>
      </c>
      <c r="D40" s="5" t="s">
        <v>15</v>
      </c>
      <c r="E40" s="5" t="s">
        <v>49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5" t="s">
        <v>21</v>
      </c>
      <c r="M40" s="5" t="s">
        <v>22</v>
      </c>
      <c r="N40" s="24">
        <f t="shared" si="0"/>
        <v>3.9913595142645857E-2</v>
      </c>
    </row>
    <row r="41" spans="1:14" ht="15.75" customHeight="1" x14ac:dyDescent="0.3">
      <c r="A41" s="5" t="s">
        <v>80</v>
      </c>
      <c r="B41" s="5" t="s">
        <v>24</v>
      </c>
      <c r="C41" s="7">
        <v>45818</v>
      </c>
      <c r="D41" s="5" t="s">
        <v>15</v>
      </c>
      <c r="E41" s="5" t="s">
        <v>20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5" t="s">
        <v>42</v>
      </c>
      <c r="M41" s="5" t="s">
        <v>18</v>
      </c>
      <c r="N41" s="24">
        <f t="shared" si="0"/>
        <v>0.14436927106067218</v>
      </c>
    </row>
    <row r="42" spans="1:14" ht="15.75" customHeight="1" x14ac:dyDescent="0.3">
      <c r="A42" s="5" t="s">
        <v>81</v>
      </c>
      <c r="B42" s="5" t="s">
        <v>14</v>
      </c>
      <c r="C42" s="7">
        <v>45401</v>
      </c>
      <c r="D42" s="5" t="s">
        <v>15</v>
      </c>
      <c r="E42" s="5" t="s">
        <v>26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5" t="s">
        <v>17</v>
      </c>
      <c r="M42" s="5" t="s">
        <v>18</v>
      </c>
      <c r="N42" s="24">
        <f t="shared" si="0"/>
        <v>0.10863928268508422</v>
      </c>
    </row>
    <row r="43" spans="1:14" ht="15.75" customHeight="1" x14ac:dyDescent="0.3">
      <c r="A43" s="5" t="s">
        <v>82</v>
      </c>
      <c r="B43" s="5" t="s">
        <v>14</v>
      </c>
      <c r="C43" s="7">
        <v>45683</v>
      </c>
      <c r="D43" s="5" t="s">
        <v>25</v>
      </c>
      <c r="E43" s="5" t="s">
        <v>35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5" t="s">
        <v>42</v>
      </c>
      <c r="M43" s="5" t="s">
        <v>55</v>
      </c>
      <c r="N43" s="24">
        <f t="shared" si="0"/>
        <v>9.379528682585335E-2</v>
      </c>
    </row>
    <row r="44" spans="1:14" ht="15.75" customHeight="1" x14ac:dyDescent="0.3">
      <c r="A44" s="5" t="s">
        <v>83</v>
      </c>
      <c r="B44" s="5" t="s">
        <v>14</v>
      </c>
      <c r="C44" s="7">
        <v>45702</v>
      </c>
      <c r="D44" s="5" t="s">
        <v>15</v>
      </c>
      <c r="E44" s="5" t="s">
        <v>41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5" t="s">
        <v>17</v>
      </c>
      <c r="M44" s="5" t="s">
        <v>18</v>
      </c>
      <c r="N44" s="24">
        <f t="shared" si="0"/>
        <v>0.11750707750379519</v>
      </c>
    </row>
    <row r="45" spans="1:14" ht="15.75" customHeight="1" x14ac:dyDescent="0.3">
      <c r="A45" s="5" t="s">
        <v>84</v>
      </c>
      <c r="B45" s="5" t="s">
        <v>14</v>
      </c>
      <c r="C45" s="7">
        <v>45541</v>
      </c>
      <c r="D45" s="5" t="s">
        <v>15</v>
      </c>
      <c r="E45" s="5" t="s">
        <v>26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5" t="s">
        <v>21</v>
      </c>
      <c r="M45" s="5" t="s">
        <v>22</v>
      </c>
      <c r="N45" s="24">
        <f t="shared" si="0"/>
        <v>3.9937155714174881E-2</v>
      </c>
    </row>
    <row r="46" spans="1:14" ht="15.75" customHeight="1" x14ac:dyDescent="0.3">
      <c r="A46" s="5" t="s">
        <v>85</v>
      </c>
      <c r="B46" s="5" t="s">
        <v>31</v>
      </c>
      <c r="C46" s="7">
        <v>45487</v>
      </c>
      <c r="D46" s="5" t="s">
        <v>15</v>
      </c>
      <c r="E46" s="5" t="s">
        <v>51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5" t="s">
        <v>33</v>
      </c>
      <c r="M46" s="5" t="s">
        <v>22</v>
      </c>
      <c r="N46" s="24">
        <f t="shared" si="0"/>
        <v>0.11613367267898639</v>
      </c>
    </row>
    <row r="47" spans="1:14" ht="15.75" customHeight="1" x14ac:dyDescent="0.3">
      <c r="A47" s="5" t="s">
        <v>86</v>
      </c>
      <c r="B47" s="5" t="s">
        <v>14</v>
      </c>
      <c r="C47" s="7">
        <v>45334</v>
      </c>
      <c r="D47" s="5" t="s">
        <v>15</v>
      </c>
      <c r="E47" s="5" t="s">
        <v>20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5" t="s">
        <v>21</v>
      </c>
      <c r="M47" s="5" t="s">
        <v>22</v>
      </c>
      <c r="N47" s="24">
        <f t="shared" si="0"/>
        <v>0.14600091693410577</v>
      </c>
    </row>
    <row r="48" spans="1:14" ht="15.75" customHeight="1" x14ac:dyDescent="0.3">
      <c r="A48" s="5" t="s">
        <v>87</v>
      </c>
      <c r="B48" s="5" t="s">
        <v>31</v>
      </c>
      <c r="C48" s="7">
        <v>45365</v>
      </c>
      <c r="D48" s="5" t="s">
        <v>57</v>
      </c>
      <c r="E48" s="5" t="s">
        <v>49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5" t="s">
        <v>58</v>
      </c>
      <c r="M48" s="5" t="s">
        <v>59</v>
      </c>
      <c r="N48" s="24">
        <f t="shared" si="0"/>
        <v>9.8072192379135503E-2</v>
      </c>
    </row>
    <row r="49" spans="1:14" ht="15.75" customHeight="1" x14ac:dyDescent="0.3">
      <c r="A49" s="5" t="s">
        <v>88</v>
      </c>
      <c r="B49" s="5" t="s">
        <v>14</v>
      </c>
      <c r="C49" s="7">
        <v>45693</v>
      </c>
      <c r="D49" s="5" t="s">
        <v>25</v>
      </c>
      <c r="E49" s="5" t="s">
        <v>32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5" t="s">
        <v>42</v>
      </c>
      <c r="M49" s="5" t="s">
        <v>55</v>
      </c>
      <c r="N49" s="24">
        <f t="shared" si="0"/>
        <v>0.15735977431131762</v>
      </c>
    </row>
    <row r="50" spans="1:14" ht="15.75" customHeight="1" x14ac:dyDescent="0.3">
      <c r="A50" s="5" t="s">
        <v>89</v>
      </c>
      <c r="B50" s="5" t="s">
        <v>24</v>
      </c>
      <c r="C50" s="7">
        <v>45533</v>
      </c>
      <c r="D50" s="5" t="s">
        <v>25</v>
      </c>
      <c r="E50" s="5" t="s">
        <v>37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5" t="s">
        <v>39</v>
      </c>
      <c r="M50" s="5" t="s">
        <v>18</v>
      </c>
      <c r="N50" s="24">
        <f t="shared" si="0"/>
        <v>0.1087862256289851</v>
      </c>
    </row>
    <row r="51" spans="1:14" ht="15.75" customHeight="1" x14ac:dyDescent="0.3">
      <c r="A51" s="5" t="s">
        <v>90</v>
      </c>
      <c r="B51" s="5" t="s">
        <v>24</v>
      </c>
      <c r="C51" s="7">
        <v>45769</v>
      </c>
      <c r="D51" s="5" t="s">
        <v>15</v>
      </c>
      <c r="E51" s="5" t="s">
        <v>16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5" t="s">
        <v>42</v>
      </c>
      <c r="M51" s="5" t="s">
        <v>18</v>
      </c>
      <c r="N51" s="24">
        <f t="shared" si="0"/>
        <v>0.20241060666934513</v>
      </c>
    </row>
    <row r="52" spans="1:14" ht="15.75" customHeight="1" x14ac:dyDescent="0.3">
      <c r="A52" s="5" t="s">
        <v>91</v>
      </c>
      <c r="B52" s="5" t="s">
        <v>31</v>
      </c>
      <c r="C52" s="7">
        <v>45425</v>
      </c>
      <c r="D52" s="5" t="s">
        <v>57</v>
      </c>
      <c r="E52" s="5" t="s">
        <v>20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5" t="s">
        <v>58</v>
      </c>
      <c r="M52" s="5" t="s">
        <v>59</v>
      </c>
      <c r="N52" s="24">
        <f t="shared" si="0"/>
        <v>0.10249760265016128</v>
      </c>
    </row>
    <row r="53" spans="1:14" ht="15.75" customHeight="1" x14ac:dyDescent="0.3">
      <c r="A53" s="5" t="s">
        <v>92</v>
      </c>
      <c r="B53" s="5" t="s">
        <v>24</v>
      </c>
      <c r="C53" s="7">
        <v>45539</v>
      </c>
      <c r="D53" s="5" t="s">
        <v>25</v>
      </c>
      <c r="E53" s="5" t="s">
        <v>26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5" t="s">
        <v>39</v>
      </c>
      <c r="M53" s="5" t="s">
        <v>18</v>
      </c>
      <c r="N53" s="24">
        <f t="shared" si="0"/>
        <v>0.15227535227535227</v>
      </c>
    </row>
    <row r="54" spans="1:14" ht="15.75" customHeight="1" x14ac:dyDescent="0.3">
      <c r="A54" s="5" t="s">
        <v>93</v>
      </c>
      <c r="B54" s="5" t="s">
        <v>24</v>
      </c>
      <c r="C54" s="7">
        <v>45516</v>
      </c>
      <c r="D54" s="5" t="s">
        <v>25</v>
      </c>
      <c r="E54" s="5" t="s">
        <v>35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5" t="s">
        <v>27</v>
      </c>
      <c r="M54" s="5" t="s">
        <v>18</v>
      </c>
      <c r="N54" s="24">
        <f t="shared" si="0"/>
        <v>5.8723551855705859E-2</v>
      </c>
    </row>
    <row r="55" spans="1:14" ht="15.75" customHeight="1" x14ac:dyDescent="0.3">
      <c r="A55" s="5" t="s">
        <v>94</v>
      </c>
      <c r="B55" s="5" t="s">
        <v>14</v>
      </c>
      <c r="C55" s="7">
        <v>45722</v>
      </c>
      <c r="D55" s="5" t="s">
        <v>15</v>
      </c>
      <c r="E55" s="5" t="s">
        <v>37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5" t="s">
        <v>21</v>
      </c>
      <c r="M55" s="5" t="s">
        <v>22</v>
      </c>
      <c r="N55" s="24">
        <f t="shared" si="0"/>
        <v>9.5101162290142052E-2</v>
      </c>
    </row>
    <row r="56" spans="1:14" ht="15.75" customHeight="1" x14ac:dyDescent="0.3">
      <c r="A56" s="5" t="s">
        <v>95</v>
      </c>
      <c r="B56" s="5" t="s">
        <v>24</v>
      </c>
      <c r="C56" s="7">
        <v>45420</v>
      </c>
      <c r="D56" s="5" t="s">
        <v>15</v>
      </c>
      <c r="E56" s="5" t="s">
        <v>20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5" t="s">
        <v>42</v>
      </c>
      <c r="M56" s="5" t="s">
        <v>18</v>
      </c>
      <c r="N56" s="24">
        <f t="shared" si="0"/>
        <v>4.781732706514439E-2</v>
      </c>
    </row>
    <row r="57" spans="1:14" ht="15.75" customHeight="1" x14ac:dyDescent="0.3">
      <c r="A57" s="5" t="s">
        <v>96</v>
      </c>
      <c r="B57" s="5" t="s">
        <v>14</v>
      </c>
      <c r="C57" s="7">
        <v>45707</v>
      </c>
      <c r="D57" s="5" t="s">
        <v>25</v>
      </c>
      <c r="E57" s="5" t="s">
        <v>49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5" t="s">
        <v>42</v>
      </c>
      <c r="M57" s="5" t="s">
        <v>55</v>
      </c>
      <c r="N57" s="24">
        <f t="shared" si="0"/>
        <v>0.13885094758408742</v>
      </c>
    </row>
    <row r="58" spans="1:14" ht="15.75" customHeight="1" x14ac:dyDescent="0.3">
      <c r="A58" s="5" t="s">
        <v>97</v>
      </c>
      <c r="B58" s="5" t="s">
        <v>14</v>
      </c>
      <c r="C58" s="7">
        <v>45299</v>
      </c>
      <c r="D58" s="5" t="s">
        <v>15</v>
      </c>
      <c r="E58" s="5" t="s">
        <v>41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5" t="s">
        <v>21</v>
      </c>
      <c r="M58" s="5" t="s">
        <v>22</v>
      </c>
      <c r="N58" s="24">
        <f t="shared" si="0"/>
        <v>0.10600966926007749</v>
      </c>
    </row>
    <row r="59" spans="1:14" ht="15.75" customHeight="1" x14ac:dyDescent="0.3">
      <c r="A59" s="5" t="s">
        <v>98</v>
      </c>
      <c r="B59" s="5" t="s">
        <v>31</v>
      </c>
      <c r="C59" s="7">
        <v>45490</v>
      </c>
      <c r="D59" s="5" t="s">
        <v>15</v>
      </c>
      <c r="E59" s="5" t="s">
        <v>41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5" t="s">
        <v>33</v>
      </c>
      <c r="M59" s="5" t="s">
        <v>22</v>
      </c>
      <c r="N59" s="24">
        <f t="shared" si="0"/>
        <v>8.8283323127168814E-2</v>
      </c>
    </row>
    <row r="60" spans="1:14" ht="15.75" customHeight="1" x14ac:dyDescent="0.3">
      <c r="A60" s="5" t="s">
        <v>99</v>
      </c>
      <c r="B60" s="5" t="s">
        <v>31</v>
      </c>
      <c r="C60" s="7">
        <v>45514</v>
      </c>
      <c r="D60" s="5" t="s">
        <v>15</v>
      </c>
      <c r="E60" s="5" t="s">
        <v>49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5" t="s">
        <v>33</v>
      </c>
      <c r="M60" s="5" t="s">
        <v>22</v>
      </c>
      <c r="N60" s="24">
        <f t="shared" si="0"/>
        <v>2.50275284149232E-2</v>
      </c>
    </row>
    <row r="61" spans="1:14" ht="15.75" customHeight="1" x14ac:dyDescent="0.3">
      <c r="A61" s="5" t="s">
        <v>100</v>
      </c>
      <c r="B61" s="5" t="s">
        <v>31</v>
      </c>
      <c r="C61" s="7">
        <v>45398</v>
      </c>
      <c r="D61" s="5" t="s">
        <v>15</v>
      </c>
      <c r="E61" s="5" t="s">
        <v>16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5" t="s">
        <v>33</v>
      </c>
      <c r="M61" s="5" t="s">
        <v>22</v>
      </c>
      <c r="N61" s="24">
        <f t="shared" si="0"/>
        <v>0.11124541239039185</v>
      </c>
    </row>
    <row r="62" spans="1:14" ht="15.75" customHeight="1" x14ac:dyDescent="0.3">
      <c r="A62" s="5" t="s">
        <v>101</v>
      </c>
      <c r="B62" s="5" t="s">
        <v>31</v>
      </c>
      <c r="C62" s="7">
        <v>45292</v>
      </c>
      <c r="D62" s="5" t="s">
        <v>57</v>
      </c>
      <c r="E62" s="5" t="s">
        <v>20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5" t="s">
        <v>58</v>
      </c>
      <c r="M62" s="5" t="s">
        <v>59</v>
      </c>
      <c r="N62" s="24">
        <f t="shared" si="0"/>
        <v>8.8087436599488311E-2</v>
      </c>
    </row>
    <row r="63" spans="1:14" ht="15.75" customHeight="1" x14ac:dyDescent="0.3">
      <c r="A63" s="5" t="s">
        <v>102</v>
      </c>
      <c r="B63" s="5" t="s">
        <v>24</v>
      </c>
      <c r="C63" s="7">
        <v>45599</v>
      </c>
      <c r="D63" s="5" t="s">
        <v>25</v>
      </c>
      <c r="E63" s="5" t="s">
        <v>29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5" t="s">
        <v>27</v>
      </c>
      <c r="M63" s="5" t="s">
        <v>18</v>
      </c>
      <c r="N63" s="24">
        <f t="shared" si="0"/>
        <v>4.3619068768968837E-2</v>
      </c>
    </row>
    <row r="64" spans="1:14" ht="15.75" customHeight="1" x14ac:dyDescent="0.3">
      <c r="A64" s="5" t="s">
        <v>103</v>
      </c>
      <c r="B64" s="5" t="s">
        <v>24</v>
      </c>
      <c r="C64" s="7">
        <v>45480</v>
      </c>
      <c r="D64" s="5" t="s">
        <v>15</v>
      </c>
      <c r="E64" s="5" t="s">
        <v>26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5" t="s">
        <v>45</v>
      </c>
      <c r="M64" s="5" t="s">
        <v>22</v>
      </c>
      <c r="N64" s="24">
        <f t="shared" si="0"/>
        <v>3.6351938233874857E-2</v>
      </c>
    </row>
    <row r="65" spans="1:14" ht="15.75" customHeight="1" x14ac:dyDescent="0.3">
      <c r="A65" s="5" t="s">
        <v>104</v>
      </c>
      <c r="B65" s="5" t="s">
        <v>24</v>
      </c>
      <c r="C65" s="7">
        <v>45679</v>
      </c>
      <c r="D65" s="5" t="s">
        <v>25</v>
      </c>
      <c r="E65" s="5" t="s">
        <v>26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5" t="s">
        <v>27</v>
      </c>
      <c r="M65" s="5" t="s">
        <v>18</v>
      </c>
      <c r="N65" s="24">
        <f t="shared" si="0"/>
        <v>9.2093661212893113E-2</v>
      </c>
    </row>
    <row r="66" spans="1:14" ht="15.75" customHeight="1" x14ac:dyDescent="0.3">
      <c r="A66" s="5" t="s">
        <v>105</v>
      </c>
      <c r="B66" s="5" t="s">
        <v>31</v>
      </c>
      <c r="C66" s="7">
        <v>45438</v>
      </c>
      <c r="D66" s="5" t="s">
        <v>15</v>
      </c>
      <c r="E66" s="5" t="s">
        <v>49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5" t="s">
        <v>33</v>
      </c>
      <c r="M66" s="5" t="s">
        <v>22</v>
      </c>
      <c r="N66" s="24">
        <f t="shared" si="0"/>
        <v>3.5777344113000653E-2</v>
      </c>
    </row>
    <row r="67" spans="1:14" ht="15.75" customHeight="1" x14ac:dyDescent="0.3">
      <c r="A67" s="5" t="s">
        <v>106</v>
      </c>
      <c r="B67" s="5" t="s">
        <v>14</v>
      </c>
      <c r="C67" s="7">
        <v>45763</v>
      </c>
      <c r="D67" s="5" t="s">
        <v>15</v>
      </c>
      <c r="E67" s="5" t="s">
        <v>29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5" t="s">
        <v>17</v>
      </c>
      <c r="M67" s="5" t="s">
        <v>18</v>
      </c>
      <c r="N67" s="24">
        <f t="shared" ref="N67:N130" si="1">(F67+G67+H67)/I67</f>
        <v>9.0267383317458164E-2</v>
      </c>
    </row>
    <row r="68" spans="1:14" ht="15.75" customHeight="1" x14ac:dyDescent="0.3">
      <c r="A68" s="5" t="s">
        <v>107</v>
      </c>
      <c r="B68" s="5" t="s">
        <v>31</v>
      </c>
      <c r="C68" s="7">
        <v>45384</v>
      </c>
      <c r="D68" s="5" t="s">
        <v>57</v>
      </c>
      <c r="E68" s="5" t="s">
        <v>51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5" t="s">
        <v>58</v>
      </c>
      <c r="M68" s="5" t="s">
        <v>59</v>
      </c>
      <c r="N68" s="24">
        <f t="shared" si="1"/>
        <v>0.17658969920637513</v>
      </c>
    </row>
    <row r="69" spans="1:14" ht="15.75" customHeight="1" x14ac:dyDescent="0.3">
      <c r="A69" s="5" t="s">
        <v>108</v>
      </c>
      <c r="B69" s="5" t="s">
        <v>24</v>
      </c>
      <c r="C69" s="7">
        <v>45379</v>
      </c>
      <c r="D69" s="5" t="s">
        <v>15</v>
      </c>
      <c r="E69" s="5" t="s">
        <v>32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5" t="s">
        <v>45</v>
      </c>
      <c r="M69" s="5" t="s">
        <v>22</v>
      </c>
      <c r="N69" s="24">
        <f t="shared" si="1"/>
        <v>0.18517978620019437</v>
      </c>
    </row>
    <row r="70" spans="1:14" ht="15.75" customHeight="1" x14ac:dyDescent="0.3">
      <c r="A70" s="5" t="s">
        <v>109</v>
      </c>
      <c r="B70" s="5" t="s">
        <v>24</v>
      </c>
      <c r="C70" s="7">
        <v>45643</v>
      </c>
      <c r="D70" s="5" t="s">
        <v>25</v>
      </c>
      <c r="E70" s="5" t="s">
        <v>32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5" t="s">
        <v>39</v>
      </c>
      <c r="M70" s="5" t="s">
        <v>18</v>
      </c>
      <c r="N70" s="24">
        <f t="shared" si="1"/>
        <v>4.6406515707509172E-2</v>
      </c>
    </row>
    <row r="71" spans="1:14" ht="15.75" customHeight="1" x14ac:dyDescent="0.3">
      <c r="A71" s="5" t="s">
        <v>110</v>
      </c>
      <c r="B71" s="5" t="s">
        <v>24</v>
      </c>
      <c r="C71" s="7">
        <v>45662</v>
      </c>
      <c r="D71" s="5" t="s">
        <v>15</v>
      </c>
      <c r="E71" s="5" t="s">
        <v>29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5" t="s">
        <v>42</v>
      </c>
      <c r="M71" s="5" t="s">
        <v>18</v>
      </c>
      <c r="N71" s="24">
        <f t="shared" si="1"/>
        <v>0.10657378184897237</v>
      </c>
    </row>
    <row r="72" spans="1:14" ht="15.75" customHeight="1" x14ac:dyDescent="0.3">
      <c r="A72" s="5" t="s">
        <v>111</v>
      </c>
      <c r="B72" s="5" t="s">
        <v>24</v>
      </c>
      <c r="C72" s="7">
        <v>45302</v>
      </c>
      <c r="D72" s="5" t="s">
        <v>15</v>
      </c>
      <c r="E72" s="5" t="s">
        <v>35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5" t="s">
        <v>45</v>
      </c>
      <c r="M72" s="5" t="s">
        <v>22</v>
      </c>
      <c r="N72" s="24">
        <f t="shared" si="1"/>
        <v>0.1607525766064882</v>
      </c>
    </row>
    <row r="73" spans="1:14" ht="15.75" customHeight="1" x14ac:dyDescent="0.3">
      <c r="A73" s="5" t="s">
        <v>112</v>
      </c>
      <c r="B73" s="5" t="s">
        <v>14</v>
      </c>
      <c r="C73" s="7">
        <v>45576</v>
      </c>
      <c r="D73" s="5" t="s">
        <v>15</v>
      </c>
      <c r="E73" s="5" t="s">
        <v>49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5" t="s">
        <v>21</v>
      </c>
      <c r="M73" s="5" t="s">
        <v>22</v>
      </c>
      <c r="N73" s="24">
        <f t="shared" si="1"/>
        <v>8.1549489395129612E-2</v>
      </c>
    </row>
    <row r="74" spans="1:14" ht="15.75" customHeight="1" x14ac:dyDescent="0.3">
      <c r="A74" s="5" t="s">
        <v>113</v>
      </c>
      <c r="B74" s="5" t="s">
        <v>31</v>
      </c>
      <c r="C74" s="7">
        <v>45783</v>
      </c>
      <c r="D74" s="5" t="s">
        <v>57</v>
      </c>
      <c r="E74" s="5" t="s">
        <v>16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5" t="s">
        <v>58</v>
      </c>
      <c r="M74" s="5" t="s">
        <v>59</v>
      </c>
      <c r="N74" s="24">
        <f t="shared" si="1"/>
        <v>5.2042268944371438E-2</v>
      </c>
    </row>
    <row r="75" spans="1:14" ht="15.75" customHeight="1" x14ac:dyDescent="0.3">
      <c r="A75" s="5" t="s">
        <v>114</v>
      </c>
      <c r="B75" s="5" t="s">
        <v>24</v>
      </c>
      <c r="C75" s="7">
        <v>45431</v>
      </c>
      <c r="D75" s="5" t="s">
        <v>25</v>
      </c>
      <c r="E75" s="5" t="s">
        <v>37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5" t="s">
        <v>39</v>
      </c>
      <c r="M75" s="5" t="s">
        <v>18</v>
      </c>
      <c r="N75" s="24">
        <f t="shared" si="1"/>
        <v>4.0418432004799221E-2</v>
      </c>
    </row>
    <row r="76" spans="1:14" ht="15.75" customHeight="1" x14ac:dyDescent="0.3">
      <c r="A76" s="5" t="s">
        <v>115</v>
      </c>
      <c r="B76" s="5" t="s">
        <v>24</v>
      </c>
      <c r="C76" s="7">
        <v>45313</v>
      </c>
      <c r="D76" s="5" t="s">
        <v>25</v>
      </c>
      <c r="E76" s="5" t="s">
        <v>49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5" t="s">
        <v>17</v>
      </c>
      <c r="M76" s="5" t="s">
        <v>18</v>
      </c>
      <c r="N76" s="24">
        <f t="shared" si="1"/>
        <v>5.1660428636136076E-2</v>
      </c>
    </row>
    <row r="77" spans="1:14" ht="15.75" customHeight="1" x14ac:dyDescent="0.3">
      <c r="A77" s="5" t="s">
        <v>116</v>
      </c>
      <c r="B77" s="5" t="s">
        <v>14</v>
      </c>
      <c r="C77" s="7">
        <v>45487</v>
      </c>
      <c r="D77" s="5" t="s">
        <v>15</v>
      </c>
      <c r="E77" s="5" t="s">
        <v>29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5" t="s">
        <v>21</v>
      </c>
      <c r="M77" s="5" t="s">
        <v>22</v>
      </c>
      <c r="N77" s="24">
        <f t="shared" si="1"/>
        <v>7.611534979956032E-2</v>
      </c>
    </row>
    <row r="78" spans="1:14" ht="15.75" customHeight="1" x14ac:dyDescent="0.3">
      <c r="A78" s="5" t="s">
        <v>117</v>
      </c>
      <c r="B78" s="5" t="s">
        <v>24</v>
      </c>
      <c r="C78" s="7">
        <v>45805</v>
      </c>
      <c r="D78" s="5" t="s">
        <v>15</v>
      </c>
      <c r="E78" s="5" t="s">
        <v>49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5" t="s">
        <v>42</v>
      </c>
      <c r="M78" s="5" t="s">
        <v>18</v>
      </c>
      <c r="N78" s="24">
        <f t="shared" si="1"/>
        <v>9.6080290300434801E-2</v>
      </c>
    </row>
    <row r="79" spans="1:14" ht="15.75" customHeight="1" x14ac:dyDescent="0.3">
      <c r="A79" s="5" t="s">
        <v>118</v>
      </c>
      <c r="B79" s="5" t="s">
        <v>24</v>
      </c>
      <c r="C79" s="7">
        <v>45678</v>
      </c>
      <c r="D79" s="5" t="s">
        <v>25</v>
      </c>
      <c r="E79" s="5" t="s">
        <v>16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5" t="s">
        <v>27</v>
      </c>
      <c r="M79" s="5" t="s">
        <v>18</v>
      </c>
      <c r="N79" s="24">
        <f t="shared" si="1"/>
        <v>0.13476527900797167</v>
      </c>
    </row>
    <row r="80" spans="1:14" ht="15.75" customHeight="1" x14ac:dyDescent="0.3">
      <c r="A80" s="5" t="s">
        <v>119</v>
      </c>
      <c r="B80" s="5" t="s">
        <v>31</v>
      </c>
      <c r="C80" s="7">
        <v>45304</v>
      </c>
      <c r="D80" s="5" t="s">
        <v>57</v>
      </c>
      <c r="E80" s="5" t="s">
        <v>26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5" t="s">
        <v>58</v>
      </c>
      <c r="M80" s="5" t="s">
        <v>59</v>
      </c>
      <c r="N80" s="24">
        <f t="shared" si="1"/>
        <v>0.14335162515829464</v>
      </c>
    </row>
    <row r="81" spans="1:14" ht="15.75" customHeight="1" x14ac:dyDescent="0.3">
      <c r="A81" s="5" t="s">
        <v>120</v>
      </c>
      <c r="B81" s="5" t="s">
        <v>14</v>
      </c>
      <c r="C81" s="7">
        <v>45825</v>
      </c>
      <c r="D81" s="5" t="s">
        <v>15</v>
      </c>
      <c r="E81" s="5" t="s">
        <v>32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5" t="s">
        <v>17</v>
      </c>
      <c r="M81" s="5" t="s">
        <v>18</v>
      </c>
      <c r="N81" s="24">
        <f t="shared" si="1"/>
        <v>7.3021390374331557E-2</v>
      </c>
    </row>
    <row r="82" spans="1:14" ht="15.75" customHeight="1" x14ac:dyDescent="0.3">
      <c r="A82" s="5" t="s">
        <v>121</v>
      </c>
      <c r="B82" s="5" t="s">
        <v>24</v>
      </c>
      <c r="C82" s="7">
        <v>45723</v>
      </c>
      <c r="D82" s="5" t="s">
        <v>15</v>
      </c>
      <c r="E82" s="5" t="s">
        <v>37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5" t="s">
        <v>45</v>
      </c>
      <c r="M82" s="5" t="s">
        <v>22</v>
      </c>
      <c r="N82" s="24">
        <f t="shared" si="1"/>
        <v>8.8232696960599044E-2</v>
      </c>
    </row>
    <row r="83" spans="1:14" ht="15.75" customHeight="1" x14ac:dyDescent="0.3">
      <c r="A83" s="5" t="s">
        <v>122</v>
      </c>
      <c r="B83" s="5" t="s">
        <v>14</v>
      </c>
      <c r="C83" s="7">
        <v>45530</v>
      </c>
      <c r="D83" s="5" t="s">
        <v>15</v>
      </c>
      <c r="E83" s="5" t="s">
        <v>51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5" t="s">
        <v>21</v>
      </c>
      <c r="M83" s="5" t="s">
        <v>22</v>
      </c>
      <c r="N83" s="24">
        <f t="shared" si="1"/>
        <v>5.9312714776632303E-2</v>
      </c>
    </row>
    <row r="84" spans="1:14" ht="15.75" customHeight="1" x14ac:dyDescent="0.3">
      <c r="A84" s="5" t="s">
        <v>123</v>
      </c>
      <c r="B84" s="5" t="s">
        <v>24</v>
      </c>
      <c r="C84" s="7">
        <v>45660</v>
      </c>
      <c r="D84" s="5" t="s">
        <v>25</v>
      </c>
      <c r="E84" s="5" t="s">
        <v>37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5" t="s">
        <v>17</v>
      </c>
      <c r="M84" s="5" t="s">
        <v>18</v>
      </c>
      <c r="N84" s="24">
        <f t="shared" si="1"/>
        <v>0.1471166637746544</v>
      </c>
    </row>
    <row r="85" spans="1:14" ht="15.75" customHeight="1" x14ac:dyDescent="0.3">
      <c r="A85" s="5" t="s">
        <v>124</v>
      </c>
      <c r="B85" s="5" t="s">
        <v>24</v>
      </c>
      <c r="C85" s="7">
        <v>45507</v>
      </c>
      <c r="D85" s="5" t="s">
        <v>15</v>
      </c>
      <c r="E85" s="5" t="s">
        <v>51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5" t="s">
        <v>42</v>
      </c>
      <c r="M85" s="5" t="s">
        <v>18</v>
      </c>
      <c r="N85" s="24">
        <f t="shared" si="1"/>
        <v>0.16283364109451065</v>
      </c>
    </row>
    <row r="86" spans="1:14" ht="15.75" customHeight="1" x14ac:dyDescent="0.3">
      <c r="A86" s="5" t="s">
        <v>125</v>
      </c>
      <c r="B86" s="5" t="s">
        <v>14</v>
      </c>
      <c r="C86" s="7">
        <v>45522</v>
      </c>
      <c r="D86" s="5" t="s">
        <v>15</v>
      </c>
      <c r="E86" s="5" t="s">
        <v>20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5" t="s">
        <v>17</v>
      </c>
      <c r="M86" s="5" t="s">
        <v>18</v>
      </c>
      <c r="N86" s="24">
        <f t="shared" si="1"/>
        <v>6.0050273034584378E-2</v>
      </c>
    </row>
    <row r="87" spans="1:14" ht="15.75" customHeight="1" x14ac:dyDescent="0.3">
      <c r="A87" s="5" t="s">
        <v>126</v>
      </c>
      <c r="B87" s="5" t="s">
        <v>24</v>
      </c>
      <c r="C87" s="7">
        <v>45791</v>
      </c>
      <c r="D87" s="5" t="s">
        <v>25</v>
      </c>
      <c r="E87" s="5" t="s">
        <v>29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5" t="s">
        <v>17</v>
      </c>
      <c r="M87" s="5" t="s">
        <v>18</v>
      </c>
      <c r="N87" s="24">
        <f t="shared" si="1"/>
        <v>4.4438295517432211E-2</v>
      </c>
    </row>
    <row r="88" spans="1:14" ht="15.75" customHeight="1" x14ac:dyDescent="0.3">
      <c r="A88" s="5" t="s">
        <v>127</v>
      </c>
      <c r="B88" s="5" t="s">
        <v>24</v>
      </c>
      <c r="C88" s="7">
        <v>45405</v>
      </c>
      <c r="D88" s="5" t="s">
        <v>25</v>
      </c>
      <c r="E88" s="5" t="s">
        <v>16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5" t="s">
        <v>17</v>
      </c>
      <c r="M88" s="5" t="s">
        <v>18</v>
      </c>
      <c r="N88" s="24">
        <f t="shared" si="1"/>
        <v>6.1158416768035934E-2</v>
      </c>
    </row>
    <row r="89" spans="1:14" ht="15.75" customHeight="1" x14ac:dyDescent="0.3">
      <c r="A89" s="5" t="s">
        <v>128</v>
      </c>
      <c r="B89" s="5" t="s">
        <v>24</v>
      </c>
      <c r="C89" s="7">
        <v>45705</v>
      </c>
      <c r="D89" s="5" t="s">
        <v>25</v>
      </c>
      <c r="E89" s="5" t="s">
        <v>35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5" t="s">
        <v>17</v>
      </c>
      <c r="M89" s="5" t="s">
        <v>18</v>
      </c>
      <c r="N89" s="24">
        <f t="shared" si="1"/>
        <v>0.18086628511966701</v>
      </c>
    </row>
    <row r="90" spans="1:14" ht="15.75" customHeight="1" x14ac:dyDescent="0.3">
      <c r="A90" s="5" t="s">
        <v>129</v>
      </c>
      <c r="B90" s="5" t="s">
        <v>14</v>
      </c>
      <c r="C90" s="7">
        <v>45630</v>
      </c>
      <c r="D90" s="5" t="s">
        <v>15</v>
      </c>
      <c r="E90" s="5" t="s">
        <v>29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5" t="s">
        <v>17</v>
      </c>
      <c r="M90" s="5" t="s">
        <v>18</v>
      </c>
      <c r="N90" s="24">
        <f t="shared" si="1"/>
        <v>9.8770390509144837E-2</v>
      </c>
    </row>
    <row r="91" spans="1:14" ht="15.75" customHeight="1" x14ac:dyDescent="0.3">
      <c r="A91" s="5" t="s">
        <v>130</v>
      </c>
      <c r="B91" s="5" t="s">
        <v>24</v>
      </c>
      <c r="C91" s="7">
        <v>45495</v>
      </c>
      <c r="D91" s="5" t="s">
        <v>25</v>
      </c>
      <c r="E91" s="5" t="s">
        <v>29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5" t="s">
        <v>27</v>
      </c>
      <c r="M91" s="5" t="s">
        <v>18</v>
      </c>
      <c r="N91" s="24">
        <f t="shared" si="1"/>
        <v>0.17642537414658407</v>
      </c>
    </row>
    <row r="92" spans="1:14" ht="15.75" customHeight="1" x14ac:dyDescent="0.3">
      <c r="A92" s="5" t="s">
        <v>131</v>
      </c>
      <c r="B92" s="5" t="s">
        <v>24</v>
      </c>
      <c r="C92" s="7">
        <v>45774</v>
      </c>
      <c r="D92" s="5" t="s">
        <v>15</v>
      </c>
      <c r="E92" s="5" t="s">
        <v>20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5" t="s">
        <v>45</v>
      </c>
      <c r="M92" s="5" t="s">
        <v>22</v>
      </c>
      <c r="N92" s="24">
        <f t="shared" si="1"/>
        <v>7.8512996756861422E-2</v>
      </c>
    </row>
    <row r="93" spans="1:14" ht="15.75" customHeight="1" x14ac:dyDescent="0.3">
      <c r="A93" s="5" t="s">
        <v>132</v>
      </c>
      <c r="B93" s="5" t="s">
        <v>31</v>
      </c>
      <c r="C93" s="7">
        <v>45376</v>
      </c>
      <c r="D93" s="5" t="s">
        <v>57</v>
      </c>
      <c r="E93" s="5" t="s">
        <v>20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5" t="s">
        <v>58</v>
      </c>
      <c r="M93" s="5" t="s">
        <v>59</v>
      </c>
      <c r="N93" s="24">
        <f t="shared" si="1"/>
        <v>7.974671020085089E-2</v>
      </c>
    </row>
    <row r="94" spans="1:14" ht="15.75" customHeight="1" x14ac:dyDescent="0.3">
      <c r="A94" s="5" t="s">
        <v>133</v>
      </c>
      <c r="B94" s="5" t="s">
        <v>14</v>
      </c>
      <c r="C94" s="7">
        <v>45351</v>
      </c>
      <c r="D94" s="5" t="s">
        <v>15</v>
      </c>
      <c r="E94" s="5" t="s">
        <v>49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5" t="s">
        <v>21</v>
      </c>
      <c r="M94" s="5" t="s">
        <v>22</v>
      </c>
      <c r="N94" s="24">
        <f t="shared" si="1"/>
        <v>6.3999063999063993E-2</v>
      </c>
    </row>
    <row r="95" spans="1:14" ht="15.75" customHeight="1" x14ac:dyDescent="0.3">
      <c r="A95" s="5" t="s">
        <v>134</v>
      </c>
      <c r="B95" s="5" t="s">
        <v>24</v>
      </c>
      <c r="C95" s="7">
        <v>45609</v>
      </c>
      <c r="D95" s="5" t="s">
        <v>25</v>
      </c>
      <c r="E95" s="5" t="s">
        <v>41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5" t="s">
        <v>17</v>
      </c>
      <c r="M95" s="5" t="s">
        <v>18</v>
      </c>
      <c r="N95" s="24">
        <f t="shared" si="1"/>
        <v>0.1439786294499264</v>
      </c>
    </row>
    <row r="96" spans="1:14" ht="15.75" customHeight="1" x14ac:dyDescent="0.3">
      <c r="A96" s="5" t="s">
        <v>135</v>
      </c>
      <c r="B96" s="5" t="s">
        <v>14</v>
      </c>
      <c r="C96" s="7">
        <v>45373</v>
      </c>
      <c r="D96" s="5" t="s">
        <v>25</v>
      </c>
      <c r="E96" s="5" t="s">
        <v>16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5" t="s">
        <v>42</v>
      </c>
      <c r="M96" s="5" t="s">
        <v>55</v>
      </c>
      <c r="N96" s="24">
        <f t="shared" si="1"/>
        <v>0.14130742382794076</v>
      </c>
    </row>
    <row r="97" spans="1:14" ht="15.75" customHeight="1" x14ac:dyDescent="0.3">
      <c r="A97" s="5" t="s">
        <v>136</v>
      </c>
      <c r="B97" s="5" t="s">
        <v>24</v>
      </c>
      <c r="C97" s="7">
        <v>45367</v>
      </c>
      <c r="D97" s="5" t="s">
        <v>25</v>
      </c>
      <c r="E97" s="5" t="s">
        <v>29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5" t="s">
        <v>17</v>
      </c>
      <c r="M97" s="5" t="s">
        <v>18</v>
      </c>
      <c r="N97" s="24">
        <f t="shared" si="1"/>
        <v>0.13528464682326713</v>
      </c>
    </row>
    <row r="98" spans="1:14" ht="15.75" customHeight="1" x14ac:dyDescent="0.3">
      <c r="A98" s="5" t="s">
        <v>137</v>
      </c>
      <c r="B98" s="5" t="s">
        <v>14</v>
      </c>
      <c r="C98" s="7">
        <v>45317</v>
      </c>
      <c r="D98" s="5" t="s">
        <v>15</v>
      </c>
      <c r="E98" s="5" t="s">
        <v>35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5" t="s">
        <v>21</v>
      </c>
      <c r="M98" s="5" t="s">
        <v>22</v>
      </c>
      <c r="N98" s="24">
        <f t="shared" si="1"/>
        <v>0.10550008380623997</v>
      </c>
    </row>
    <row r="99" spans="1:14" ht="15.75" customHeight="1" x14ac:dyDescent="0.3">
      <c r="A99" s="5" t="s">
        <v>138</v>
      </c>
      <c r="B99" s="5" t="s">
        <v>24</v>
      </c>
      <c r="C99" s="7">
        <v>45366</v>
      </c>
      <c r="D99" s="5" t="s">
        <v>25</v>
      </c>
      <c r="E99" s="5" t="s">
        <v>37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5" t="s">
        <v>39</v>
      </c>
      <c r="M99" s="5" t="s">
        <v>18</v>
      </c>
      <c r="N99" s="24">
        <f t="shared" si="1"/>
        <v>9.4690354648038683E-2</v>
      </c>
    </row>
    <row r="100" spans="1:14" ht="15.75" customHeight="1" x14ac:dyDescent="0.3">
      <c r="A100" s="5" t="s">
        <v>139</v>
      </c>
      <c r="B100" s="5" t="s">
        <v>24</v>
      </c>
      <c r="C100" s="7">
        <v>45580</v>
      </c>
      <c r="D100" s="5" t="s">
        <v>15</v>
      </c>
      <c r="E100" s="5" t="s">
        <v>29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5" t="s">
        <v>42</v>
      </c>
      <c r="M100" s="5" t="s">
        <v>18</v>
      </c>
      <c r="N100" s="24">
        <f t="shared" si="1"/>
        <v>6.934441139598338E-2</v>
      </c>
    </row>
    <row r="101" spans="1:14" ht="15.75" customHeight="1" x14ac:dyDescent="0.3">
      <c r="A101" s="5" t="s">
        <v>140</v>
      </c>
      <c r="B101" s="5" t="s">
        <v>14</v>
      </c>
      <c r="C101" s="7">
        <v>45494</v>
      </c>
      <c r="D101" s="5" t="s">
        <v>15</v>
      </c>
      <c r="E101" s="5" t="s">
        <v>16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5" t="s">
        <v>21</v>
      </c>
      <c r="M101" s="5" t="s">
        <v>22</v>
      </c>
      <c r="N101" s="24">
        <f t="shared" si="1"/>
        <v>0.10077583818232197</v>
      </c>
    </row>
    <row r="102" spans="1:14" ht="15.75" customHeight="1" x14ac:dyDescent="0.3">
      <c r="A102" s="5" t="s">
        <v>141</v>
      </c>
      <c r="B102" s="5" t="s">
        <v>24</v>
      </c>
      <c r="C102" s="7">
        <v>45577</v>
      </c>
      <c r="D102" s="5" t="s">
        <v>15</v>
      </c>
      <c r="E102" s="5" t="s">
        <v>37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5" t="s">
        <v>42</v>
      </c>
      <c r="M102" s="5" t="s">
        <v>18</v>
      </c>
      <c r="N102" s="24">
        <f t="shared" si="1"/>
        <v>8.2866791077934779E-2</v>
      </c>
    </row>
    <row r="103" spans="1:14" ht="15.75" customHeight="1" x14ac:dyDescent="0.3">
      <c r="A103" s="5" t="s">
        <v>142</v>
      </c>
      <c r="B103" s="5" t="s">
        <v>24</v>
      </c>
      <c r="C103" s="7">
        <v>45591</v>
      </c>
      <c r="D103" s="5" t="s">
        <v>15</v>
      </c>
      <c r="E103" s="5" t="s">
        <v>16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5" t="s">
        <v>42</v>
      </c>
      <c r="M103" s="5" t="s">
        <v>18</v>
      </c>
      <c r="N103" s="24">
        <f t="shared" si="1"/>
        <v>0.14485195154777927</v>
      </c>
    </row>
    <row r="104" spans="1:14" ht="15.75" customHeight="1" x14ac:dyDescent="0.3">
      <c r="A104" s="5" t="s">
        <v>143</v>
      </c>
      <c r="B104" s="5" t="s">
        <v>14</v>
      </c>
      <c r="C104" s="7">
        <v>45336</v>
      </c>
      <c r="D104" s="5" t="s">
        <v>15</v>
      </c>
      <c r="E104" s="5" t="s">
        <v>32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5" t="s">
        <v>17</v>
      </c>
      <c r="M104" s="5" t="s">
        <v>18</v>
      </c>
      <c r="N104" s="24">
        <f t="shared" si="1"/>
        <v>6.6614370881706936E-2</v>
      </c>
    </row>
    <row r="105" spans="1:14" ht="15.75" customHeight="1" x14ac:dyDescent="0.3">
      <c r="A105" s="5" t="s">
        <v>144</v>
      </c>
      <c r="B105" s="5" t="s">
        <v>24</v>
      </c>
      <c r="C105" s="7">
        <v>45413</v>
      </c>
      <c r="D105" s="5" t="s">
        <v>25</v>
      </c>
      <c r="E105" s="5" t="s">
        <v>35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5" t="s">
        <v>39</v>
      </c>
      <c r="M105" s="5" t="s">
        <v>18</v>
      </c>
      <c r="N105" s="24">
        <f t="shared" si="1"/>
        <v>8.8705674736667947E-2</v>
      </c>
    </row>
    <row r="106" spans="1:14" ht="15.75" customHeight="1" x14ac:dyDescent="0.3">
      <c r="A106" s="5" t="s">
        <v>145</v>
      </c>
      <c r="B106" s="5" t="s">
        <v>24</v>
      </c>
      <c r="C106" s="7">
        <v>45553</v>
      </c>
      <c r="D106" s="5" t="s">
        <v>15</v>
      </c>
      <c r="E106" s="5" t="s">
        <v>16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5" t="s">
        <v>42</v>
      </c>
      <c r="M106" s="5" t="s">
        <v>18</v>
      </c>
      <c r="N106" s="24">
        <f t="shared" si="1"/>
        <v>6.2084853138798232E-2</v>
      </c>
    </row>
    <row r="107" spans="1:14" ht="15.75" customHeight="1" x14ac:dyDescent="0.3">
      <c r="A107" s="5" t="s">
        <v>146</v>
      </c>
      <c r="B107" s="5" t="s">
        <v>24</v>
      </c>
      <c r="C107" s="7">
        <v>45677</v>
      </c>
      <c r="D107" s="5" t="s">
        <v>25</v>
      </c>
      <c r="E107" s="5" t="s">
        <v>26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5" t="s">
        <v>17</v>
      </c>
      <c r="M107" s="5" t="s">
        <v>18</v>
      </c>
      <c r="N107" s="24">
        <f t="shared" si="1"/>
        <v>0.23193025217961938</v>
      </c>
    </row>
    <row r="108" spans="1:14" ht="15.75" customHeight="1" x14ac:dyDescent="0.3">
      <c r="A108" s="5" t="s">
        <v>147</v>
      </c>
      <c r="B108" s="5" t="s">
        <v>24</v>
      </c>
      <c r="C108" s="7">
        <v>45670</v>
      </c>
      <c r="D108" s="5" t="s">
        <v>15</v>
      </c>
      <c r="E108" s="5" t="s">
        <v>32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5" t="s">
        <v>45</v>
      </c>
      <c r="M108" s="5" t="s">
        <v>22</v>
      </c>
      <c r="N108" s="24">
        <f t="shared" si="1"/>
        <v>8.6598679355949518E-2</v>
      </c>
    </row>
    <row r="109" spans="1:14" ht="15.75" customHeight="1" x14ac:dyDescent="0.3">
      <c r="A109" s="5" t="s">
        <v>148</v>
      </c>
      <c r="B109" s="5" t="s">
        <v>31</v>
      </c>
      <c r="C109" s="7">
        <v>45542</v>
      </c>
      <c r="D109" s="5" t="s">
        <v>57</v>
      </c>
      <c r="E109" s="5" t="s">
        <v>32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5" t="s">
        <v>58</v>
      </c>
      <c r="M109" s="5" t="s">
        <v>59</v>
      </c>
      <c r="N109" s="24">
        <f t="shared" si="1"/>
        <v>0.10949965468790931</v>
      </c>
    </row>
    <row r="110" spans="1:14" ht="15.75" customHeight="1" x14ac:dyDescent="0.3">
      <c r="A110" s="5" t="s">
        <v>149</v>
      </c>
      <c r="B110" s="5" t="s">
        <v>14</v>
      </c>
      <c r="C110" s="7">
        <v>45617</v>
      </c>
      <c r="D110" s="5" t="s">
        <v>15</v>
      </c>
      <c r="E110" s="5" t="s">
        <v>32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5" t="s">
        <v>17</v>
      </c>
      <c r="M110" s="5" t="s">
        <v>18</v>
      </c>
      <c r="N110" s="24">
        <f t="shared" si="1"/>
        <v>0.13838335084182732</v>
      </c>
    </row>
    <row r="111" spans="1:14" ht="15.75" customHeight="1" x14ac:dyDescent="0.3">
      <c r="A111" s="5" t="s">
        <v>150</v>
      </c>
      <c r="B111" s="5" t="s">
        <v>14</v>
      </c>
      <c r="C111" s="7">
        <v>45469</v>
      </c>
      <c r="D111" s="5" t="s">
        <v>15</v>
      </c>
      <c r="E111" s="5" t="s">
        <v>26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5" t="s">
        <v>21</v>
      </c>
      <c r="M111" s="5" t="s">
        <v>22</v>
      </c>
      <c r="N111" s="24">
        <f t="shared" si="1"/>
        <v>0.16033389770445328</v>
      </c>
    </row>
    <row r="112" spans="1:14" ht="15.75" customHeight="1" x14ac:dyDescent="0.3">
      <c r="A112" s="5" t="s">
        <v>151</v>
      </c>
      <c r="B112" s="5" t="s">
        <v>31</v>
      </c>
      <c r="C112" s="7">
        <v>45493</v>
      </c>
      <c r="D112" s="5" t="s">
        <v>57</v>
      </c>
      <c r="E112" s="5" t="s">
        <v>32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5" t="s">
        <v>58</v>
      </c>
      <c r="M112" s="5" t="s">
        <v>59</v>
      </c>
      <c r="N112" s="24">
        <f t="shared" si="1"/>
        <v>0.16641897515158721</v>
      </c>
    </row>
    <row r="113" spans="1:14" ht="15.75" customHeight="1" x14ac:dyDescent="0.3">
      <c r="A113" s="5" t="s">
        <v>152</v>
      </c>
      <c r="B113" s="5" t="s">
        <v>14</v>
      </c>
      <c r="C113" s="7">
        <v>45704</v>
      </c>
      <c r="D113" s="5" t="s">
        <v>15</v>
      </c>
      <c r="E113" s="5" t="s">
        <v>51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5" t="s">
        <v>17</v>
      </c>
      <c r="M113" s="5" t="s">
        <v>18</v>
      </c>
      <c r="N113" s="24">
        <f t="shared" si="1"/>
        <v>5.2993862995521647E-2</v>
      </c>
    </row>
    <row r="114" spans="1:14" ht="15.75" customHeight="1" x14ac:dyDescent="0.3">
      <c r="A114" s="5" t="s">
        <v>153</v>
      </c>
      <c r="B114" s="5" t="s">
        <v>14</v>
      </c>
      <c r="C114" s="7">
        <v>45544</v>
      </c>
      <c r="D114" s="5" t="s">
        <v>15</v>
      </c>
      <c r="E114" s="5" t="s">
        <v>26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5" t="s">
        <v>17</v>
      </c>
      <c r="M114" s="5" t="s">
        <v>18</v>
      </c>
      <c r="N114" s="24">
        <f t="shared" si="1"/>
        <v>3.9674653122814763E-2</v>
      </c>
    </row>
    <row r="115" spans="1:14" ht="15.75" customHeight="1" x14ac:dyDescent="0.3">
      <c r="A115" s="5" t="s">
        <v>154</v>
      </c>
      <c r="B115" s="5" t="s">
        <v>24</v>
      </c>
      <c r="C115" s="7">
        <v>45489</v>
      </c>
      <c r="D115" s="5" t="s">
        <v>15</v>
      </c>
      <c r="E115" s="5" t="s">
        <v>41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5" t="s">
        <v>42</v>
      </c>
      <c r="M115" s="5" t="s">
        <v>18</v>
      </c>
      <c r="N115" s="24">
        <f t="shared" si="1"/>
        <v>5.1173769923769923E-2</v>
      </c>
    </row>
    <row r="116" spans="1:14" ht="15.75" customHeight="1" x14ac:dyDescent="0.3">
      <c r="A116" s="5" t="s">
        <v>155</v>
      </c>
      <c r="B116" s="5" t="s">
        <v>14</v>
      </c>
      <c r="C116" s="7">
        <v>45762</v>
      </c>
      <c r="D116" s="5" t="s">
        <v>15</v>
      </c>
      <c r="E116" s="5" t="s">
        <v>20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5" t="s">
        <v>21</v>
      </c>
      <c r="M116" s="5" t="s">
        <v>22</v>
      </c>
      <c r="N116" s="24">
        <f t="shared" si="1"/>
        <v>8.6978468608031198E-2</v>
      </c>
    </row>
    <row r="117" spans="1:14" ht="15.75" customHeight="1" x14ac:dyDescent="0.3">
      <c r="A117" s="5" t="s">
        <v>156</v>
      </c>
      <c r="B117" s="5" t="s">
        <v>14</v>
      </c>
      <c r="C117" s="7">
        <v>45781</v>
      </c>
      <c r="D117" s="5" t="s">
        <v>25</v>
      </c>
      <c r="E117" s="5" t="s">
        <v>26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5" t="s">
        <v>42</v>
      </c>
      <c r="M117" s="5" t="s">
        <v>55</v>
      </c>
      <c r="N117" s="24">
        <f t="shared" si="1"/>
        <v>4.9881554861634543E-2</v>
      </c>
    </row>
    <row r="118" spans="1:14" ht="15.75" customHeight="1" x14ac:dyDescent="0.3">
      <c r="A118" s="5" t="s">
        <v>157</v>
      </c>
      <c r="B118" s="5" t="s">
        <v>14</v>
      </c>
      <c r="C118" s="7">
        <v>45340</v>
      </c>
      <c r="D118" s="5" t="s">
        <v>25</v>
      </c>
      <c r="E118" s="5" t="s">
        <v>49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5" t="s">
        <v>42</v>
      </c>
      <c r="M118" s="5" t="s">
        <v>55</v>
      </c>
      <c r="N118" s="24">
        <f t="shared" si="1"/>
        <v>3.4977365592309385E-2</v>
      </c>
    </row>
    <row r="119" spans="1:14" ht="15.75" customHeight="1" x14ac:dyDescent="0.3">
      <c r="A119" s="5" t="s">
        <v>158</v>
      </c>
      <c r="B119" s="5" t="s">
        <v>24</v>
      </c>
      <c r="C119" s="7">
        <v>45428</v>
      </c>
      <c r="D119" s="5" t="s">
        <v>25</v>
      </c>
      <c r="E119" s="5" t="s">
        <v>32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5" t="s">
        <v>39</v>
      </c>
      <c r="M119" s="5" t="s">
        <v>18</v>
      </c>
      <c r="N119" s="24">
        <f t="shared" si="1"/>
        <v>4.1192869195216787E-2</v>
      </c>
    </row>
    <row r="120" spans="1:14" ht="15.75" customHeight="1" x14ac:dyDescent="0.3">
      <c r="A120" s="5" t="s">
        <v>159</v>
      </c>
      <c r="B120" s="5" t="s">
        <v>24</v>
      </c>
      <c r="C120" s="7">
        <v>45806</v>
      </c>
      <c r="D120" s="5" t="s">
        <v>25</v>
      </c>
      <c r="E120" s="5" t="s">
        <v>32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5" t="s">
        <v>27</v>
      </c>
      <c r="M120" s="5" t="s">
        <v>18</v>
      </c>
      <c r="N120" s="24">
        <f t="shared" si="1"/>
        <v>5.7963823356939871E-2</v>
      </c>
    </row>
    <row r="121" spans="1:14" ht="15.75" customHeight="1" x14ac:dyDescent="0.3">
      <c r="A121" s="5" t="s">
        <v>160</v>
      </c>
      <c r="B121" s="5" t="s">
        <v>14</v>
      </c>
      <c r="C121" s="7">
        <v>45674</v>
      </c>
      <c r="D121" s="5" t="s">
        <v>15</v>
      </c>
      <c r="E121" s="5" t="s">
        <v>41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5" t="s">
        <v>21</v>
      </c>
      <c r="M121" s="5" t="s">
        <v>22</v>
      </c>
      <c r="N121" s="24">
        <f t="shared" si="1"/>
        <v>4.7099090384865788E-2</v>
      </c>
    </row>
    <row r="122" spans="1:14" ht="15.75" customHeight="1" x14ac:dyDescent="0.3">
      <c r="A122" s="5" t="s">
        <v>161</v>
      </c>
      <c r="B122" s="5" t="s">
        <v>14</v>
      </c>
      <c r="C122" s="7">
        <v>45777</v>
      </c>
      <c r="D122" s="5" t="s">
        <v>25</v>
      </c>
      <c r="E122" s="5" t="s">
        <v>26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5" t="s">
        <v>42</v>
      </c>
      <c r="M122" s="5" t="s">
        <v>55</v>
      </c>
      <c r="N122" s="24">
        <f t="shared" si="1"/>
        <v>9.3980281287635997E-2</v>
      </c>
    </row>
    <row r="123" spans="1:14" ht="15.75" customHeight="1" x14ac:dyDescent="0.3">
      <c r="A123" s="5" t="s">
        <v>162</v>
      </c>
      <c r="B123" s="5" t="s">
        <v>24</v>
      </c>
      <c r="C123" s="7">
        <v>45346</v>
      </c>
      <c r="D123" s="5" t="s">
        <v>25</v>
      </c>
      <c r="E123" s="5" t="s">
        <v>32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5" t="s">
        <v>39</v>
      </c>
      <c r="M123" s="5" t="s">
        <v>18</v>
      </c>
      <c r="N123" s="24">
        <f t="shared" si="1"/>
        <v>3.5847516903707161E-2</v>
      </c>
    </row>
    <row r="124" spans="1:14" ht="15.75" customHeight="1" x14ac:dyDescent="0.3">
      <c r="A124" s="5" t="s">
        <v>163</v>
      </c>
      <c r="B124" s="5" t="s">
        <v>31</v>
      </c>
      <c r="C124" s="7">
        <v>45424</v>
      </c>
      <c r="D124" s="5" t="s">
        <v>15</v>
      </c>
      <c r="E124" s="5" t="s">
        <v>49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5" t="s">
        <v>33</v>
      </c>
      <c r="M124" s="5" t="s">
        <v>22</v>
      </c>
      <c r="N124" s="24">
        <f t="shared" si="1"/>
        <v>5.8764788517847777E-2</v>
      </c>
    </row>
    <row r="125" spans="1:14" ht="15.75" customHeight="1" x14ac:dyDescent="0.3">
      <c r="A125" s="5" t="s">
        <v>164</v>
      </c>
      <c r="B125" s="5" t="s">
        <v>24</v>
      </c>
      <c r="C125" s="7">
        <v>45421</v>
      </c>
      <c r="D125" s="5" t="s">
        <v>25</v>
      </c>
      <c r="E125" s="5" t="s">
        <v>26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5" t="s">
        <v>17</v>
      </c>
      <c r="M125" s="5" t="s">
        <v>18</v>
      </c>
      <c r="N125" s="24">
        <f t="shared" si="1"/>
        <v>8.5455879813503707E-2</v>
      </c>
    </row>
    <row r="126" spans="1:14" ht="15.75" customHeight="1" x14ac:dyDescent="0.3">
      <c r="A126" s="5" t="s">
        <v>165</v>
      </c>
      <c r="B126" s="5" t="s">
        <v>24</v>
      </c>
      <c r="C126" s="7">
        <v>45602</v>
      </c>
      <c r="D126" s="5" t="s">
        <v>15</v>
      </c>
      <c r="E126" s="5" t="s">
        <v>49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5" t="s">
        <v>42</v>
      </c>
      <c r="M126" s="5" t="s">
        <v>18</v>
      </c>
      <c r="N126" s="24">
        <f t="shared" si="1"/>
        <v>0.11041472996071611</v>
      </c>
    </row>
    <row r="127" spans="1:14" ht="15.75" customHeight="1" x14ac:dyDescent="0.3">
      <c r="A127" s="5" t="s">
        <v>166</v>
      </c>
      <c r="B127" s="5" t="s">
        <v>24</v>
      </c>
      <c r="C127" s="7">
        <v>45295</v>
      </c>
      <c r="D127" s="5" t="s">
        <v>25</v>
      </c>
      <c r="E127" s="5" t="s">
        <v>35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5" t="s">
        <v>27</v>
      </c>
      <c r="M127" s="5" t="s">
        <v>18</v>
      </c>
      <c r="N127" s="24">
        <f t="shared" si="1"/>
        <v>7.064131830503638E-2</v>
      </c>
    </row>
    <row r="128" spans="1:14" ht="15.75" customHeight="1" x14ac:dyDescent="0.3">
      <c r="A128" s="5" t="s">
        <v>167</v>
      </c>
      <c r="B128" s="5" t="s">
        <v>24</v>
      </c>
      <c r="C128" s="7">
        <v>45319</v>
      </c>
      <c r="D128" s="5" t="s">
        <v>15</v>
      </c>
      <c r="E128" s="5" t="s">
        <v>32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5" t="s">
        <v>45</v>
      </c>
      <c r="M128" s="5" t="s">
        <v>22</v>
      </c>
      <c r="N128" s="24">
        <f t="shared" si="1"/>
        <v>3.4738711788351875E-2</v>
      </c>
    </row>
    <row r="129" spans="1:14" ht="15.75" customHeight="1" x14ac:dyDescent="0.3">
      <c r="A129" s="5" t="s">
        <v>168</v>
      </c>
      <c r="B129" s="5" t="s">
        <v>14</v>
      </c>
      <c r="C129" s="7">
        <v>45344</v>
      </c>
      <c r="D129" s="5" t="s">
        <v>15</v>
      </c>
      <c r="E129" s="5" t="s">
        <v>26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5" t="s">
        <v>17</v>
      </c>
      <c r="M129" s="5" t="s">
        <v>18</v>
      </c>
      <c r="N129" s="24">
        <f t="shared" si="1"/>
        <v>0.10461100954702417</v>
      </c>
    </row>
    <row r="130" spans="1:14" ht="15.75" customHeight="1" x14ac:dyDescent="0.3">
      <c r="A130" s="5" t="s">
        <v>169</v>
      </c>
      <c r="B130" s="5" t="s">
        <v>24</v>
      </c>
      <c r="C130" s="7">
        <v>45839</v>
      </c>
      <c r="D130" s="5" t="s">
        <v>25</v>
      </c>
      <c r="E130" s="5" t="s">
        <v>20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5" t="s">
        <v>39</v>
      </c>
      <c r="M130" s="5" t="s">
        <v>18</v>
      </c>
      <c r="N130" s="24">
        <f t="shared" si="1"/>
        <v>7.9993453221219743E-2</v>
      </c>
    </row>
    <row r="131" spans="1:14" ht="15.75" customHeight="1" x14ac:dyDescent="0.3">
      <c r="A131" s="5" t="s">
        <v>170</v>
      </c>
      <c r="B131" s="5" t="s">
        <v>31</v>
      </c>
      <c r="C131" s="7">
        <v>45301</v>
      </c>
      <c r="D131" s="5" t="s">
        <v>15</v>
      </c>
      <c r="E131" s="5" t="s">
        <v>20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5" t="s">
        <v>33</v>
      </c>
      <c r="M131" s="5" t="s">
        <v>22</v>
      </c>
      <c r="N131" s="24">
        <f t="shared" ref="N131:N194" si="2">(F131+G131+H131)/I131</f>
        <v>2.811915575741384E-2</v>
      </c>
    </row>
    <row r="132" spans="1:14" ht="15.75" customHeight="1" x14ac:dyDescent="0.3">
      <c r="A132" s="5" t="s">
        <v>171</v>
      </c>
      <c r="B132" s="5" t="s">
        <v>24</v>
      </c>
      <c r="C132" s="7">
        <v>45736</v>
      </c>
      <c r="D132" s="5" t="s">
        <v>15</v>
      </c>
      <c r="E132" s="5" t="s">
        <v>51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5" t="s">
        <v>45</v>
      </c>
      <c r="M132" s="5" t="s">
        <v>22</v>
      </c>
      <c r="N132" s="24">
        <f t="shared" si="2"/>
        <v>5.4592988710635768E-2</v>
      </c>
    </row>
    <row r="133" spans="1:14" ht="15.75" customHeight="1" x14ac:dyDescent="0.3">
      <c r="A133" s="5" t="s">
        <v>172</v>
      </c>
      <c r="B133" s="5" t="s">
        <v>24</v>
      </c>
      <c r="C133" s="7">
        <v>45563</v>
      </c>
      <c r="D133" s="5" t="s">
        <v>15</v>
      </c>
      <c r="E133" s="5" t="s">
        <v>35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5" t="s">
        <v>42</v>
      </c>
      <c r="M133" s="5" t="s">
        <v>18</v>
      </c>
      <c r="N133" s="24">
        <f t="shared" si="2"/>
        <v>9.2466575934672959E-2</v>
      </c>
    </row>
    <row r="134" spans="1:14" ht="15.75" customHeight="1" x14ac:dyDescent="0.3">
      <c r="A134" s="5" t="s">
        <v>173</v>
      </c>
      <c r="B134" s="5" t="s">
        <v>31</v>
      </c>
      <c r="C134" s="7">
        <v>45318</v>
      </c>
      <c r="D134" s="5" t="s">
        <v>15</v>
      </c>
      <c r="E134" s="5" t="s">
        <v>51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5" t="s">
        <v>33</v>
      </c>
      <c r="M134" s="5" t="s">
        <v>22</v>
      </c>
      <c r="N134" s="24">
        <f t="shared" si="2"/>
        <v>4.7508511296812134E-2</v>
      </c>
    </row>
    <row r="135" spans="1:14" ht="15.75" customHeight="1" x14ac:dyDescent="0.3">
      <c r="A135" s="5" t="s">
        <v>174</v>
      </c>
      <c r="B135" s="5" t="s">
        <v>24</v>
      </c>
      <c r="C135" s="7">
        <v>45792</v>
      </c>
      <c r="D135" s="5" t="s">
        <v>15</v>
      </c>
      <c r="E135" s="5" t="s">
        <v>26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5" t="s">
        <v>42</v>
      </c>
      <c r="M135" s="5" t="s">
        <v>18</v>
      </c>
      <c r="N135" s="24">
        <f t="shared" si="2"/>
        <v>7.4861184558434685E-2</v>
      </c>
    </row>
    <row r="136" spans="1:14" ht="15.75" customHeight="1" x14ac:dyDescent="0.3">
      <c r="A136" s="5" t="s">
        <v>175</v>
      </c>
      <c r="B136" s="5" t="s">
        <v>24</v>
      </c>
      <c r="C136" s="7">
        <v>45569</v>
      </c>
      <c r="D136" s="5" t="s">
        <v>25</v>
      </c>
      <c r="E136" s="5" t="s">
        <v>20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5" t="s">
        <v>27</v>
      </c>
      <c r="M136" s="5" t="s">
        <v>18</v>
      </c>
      <c r="N136" s="24">
        <f t="shared" si="2"/>
        <v>9.6834214933149046E-2</v>
      </c>
    </row>
    <row r="137" spans="1:14" ht="15.75" customHeight="1" x14ac:dyDescent="0.3">
      <c r="A137" s="5" t="s">
        <v>176</v>
      </c>
      <c r="B137" s="5" t="s">
        <v>24</v>
      </c>
      <c r="C137" s="7">
        <v>45615</v>
      </c>
      <c r="D137" s="5" t="s">
        <v>15</v>
      </c>
      <c r="E137" s="5" t="s">
        <v>41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5" t="s">
        <v>42</v>
      </c>
      <c r="M137" s="5" t="s">
        <v>18</v>
      </c>
      <c r="N137" s="24">
        <f t="shared" si="2"/>
        <v>0.18723441538528934</v>
      </c>
    </row>
    <row r="138" spans="1:14" ht="15.75" customHeight="1" x14ac:dyDescent="0.3">
      <c r="A138" s="5" t="s">
        <v>177</v>
      </c>
      <c r="B138" s="5" t="s">
        <v>24</v>
      </c>
      <c r="C138" s="7">
        <v>45387</v>
      </c>
      <c r="D138" s="5" t="s">
        <v>25</v>
      </c>
      <c r="E138" s="5" t="s">
        <v>26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5" t="s">
        <v>17</v>
      </c>
      <c r="M138" s="5" t="s">
        <v>18</v>
      </c>
      <c r="N138" s="24">
        <f t="shared" si="2"/>
        <v>0.16610252187966945</v>
      </c>
    </row>
    <row r="139" spans="1:14" ht="15.75" customHeight="1" x14ac:dyDescent="0.3">
      <c r="A139" s="5" t="s">
        <v>178</v>
      </c>
      <c r="B139" s="5" t="s">
        <v>24</v>
      </c>
      <c r="C139" s="7">
        <v>45624</v>
      </c>
      <c r="D139" s="5" t="s">
        <v>25</v>
      </c>
      <c r="E139" s="5" t="s">
        <v>26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5" t="s">
        <v>39</v>
      </c>
      <c r="M139" s="5" t="s">
        <v>18</v>
      </c>
      <c r="N139" s="24">
        <f t="shared" si="2"/>
        <v>2.7809319322005904E-2</v>
      </c>
    </row>
    <row r="140" spans="1:14" ht="15.75" customHeight="1" x14ac:dyDescent="0.3">
      <c r="A140" s="5" t="s">
        <v>179</v>
      </c>
      <c r="B140" s="5" t="s">
        <v>24</v>
      </c>
      <c r="C140" s="7">
        <v>45725</v>
      </c>
      <c r="D140" s="5" t="s">
        <v>15</v>
      </c>
      <c r="E140" s="5" t="s">
        <v>51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5" t="s">
        <v>42</v>
      </c>
      <c r="M140" s="5" t="s">
        <v>18</v>
      </c>
      <c r="N140" s="24">
        <f t="shared" si="2"/>
        <v>0.11645414595490239</v>
      </c>
    </row>
    <row r="141" spans="1:14" ht="15.75" customHeight="1" x14ac:dyDescent="0.3">
      <c r="A141" s="5" t="s">
        <v>180</v>
      </c>
      <c r="B141" s="5" t="s">
        <v>24</v>
      </c>
      <c r="C141" s="7">
        <v>45531</v>
      </c>
      <c r="D141" s="5" t="s">
        <v>25</v>
      </c>
      <c r="E141" s="5" t="s">
        <v>26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5" t="s">
        <v>27</v>
      </c>
      <c r="M141" s="5" t="s">
        <v>18</v>
      </c>
      <c r="N141" s="24">
        <f t="shared" si="2"/>
        <v>8.702596166915863E-2</v>
      </c>
    </row>
    <row r="142" spans="1:14" ht="15.75" customHeight="1" x14ac:dyDescent="0.3">
      <c r="A142" s="5" t="s">
        <v>181</v>
      </c>
      <c r="B142" s="5" t="s">
        <v>31</v>
      </c>
      <c r="C142" s="7">
        <v>45566</v>
      </c>
      <c r="D142" s="5" t="s">
        <v>57</v>
      </c>
      <c r="E142" s="5" t="s">
        <v>20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5" t="s">
        <v>58</v>
      </c>
      <c r="M142" s="5" t="s">
        <v>59</v>
      </c>
      <c r="N142" s="24">
        <f t="shared" si="2"/>
        <v>7.0594928198320889E-2</v>
      </c>
    </row>
    <row r="143" spans="1:14" ht="15.75" customHeight="1" x14ac:dyDescent="0.3">
      <c r="A143" s="5" t="s">
        <v>182</v>
      </c>
      <c r="B143" s="5" t="s">
        <v>14</v>
      </c>
      <c r="C143" s="7">
        <v>45647</v>
      </c>
      <c r="D143" s="5" t="s">
        <v>25</v>
      </c>
      <c r="E143" s="5" t="s">
        <v>26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5" t="s">
        <v>42</v>
      </c>
      <c r="M143" s="5" t="s">
        <v>55</v>
      </c>
      <c r="N143" s="24">
        <f t="shared" si="2"/>
        <v>0.11731037798484398</v>
      </c>
    </row>
    <row r="144" spans="1:14" ht="15.75" customHeight="1" x14ac:dyDescent="0.3">
      <c r="A144" s="5" t="s">
        <v>183</v>
      </c>
      <c r="B144" s="5" t="s">
        <v>14</v>
      </c>
      <c r="C144" s="7">
        <v>45460</v>
      </c>
      <c r="D144" s="5" t="s">
        <v>15</v>
      </c>
      <c r="E144" s="5" t="s">
        <v>16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5" t="s">
        <v>21</v>
      </c>
      <c r="M144" s="5" t="s">
        <v>22</v>
      </c>
      <c r="N144" s="24">
        <f t="shared" si="2"/>
        <v>9.2634518149573616E-2</v>
      </c>
    </row>
    <row r="145" spans="1:14" ht="15.75" customHeight="1" x14ac:dyDescent="0.3">
      <c r="A145" s="5" t="s">
        <v>184</v>
      </c>
      <c r="B145" s="5" t="s">
        <v>14</v>
      </c>
      <c r="C145" s="7">
        <v>45702</v>
      </c>
      <c r="D145" s="5" t="s">
        <v>15</v>
      </c>
      <c r="E145" s="5" t="s">
        <v>16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5" t="s">
        <v>17</v>
      </c>
      <c r="M145" s="5" t="s">
        <v>18</v>
      </c>
      <c r="N145" s="24">
        <f t="shared" si="2"/>
        <v>6.0370736430199488E-2</v>
      </c>
    </row>
    <row r="146" spans="1:14" ht="15.75" customHeight="1" x14ac:dyDescent="0.3">
      <c r="A146" s="5" t="s">
        <v>185</v>
      </c>
      <c r="B146" s="5" t="s">
        <v>24</v>
      </c>
      <c r="C146" s="7">
        <v>45805</v>
      </c>
      <c r="D146" s="5" t="s">
        <v>25</v>
      </c>
      <c r="E146" s="5" t="s">
        <v>41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5" t="s">
        <v>27</v>
      </c>
      <c r="M146" s="5" t="s">
        <v>18</v>
      </c>
      <c r="N146" s="24">
        <f t="shared" si="2"/>
        <v>0.11477740733477153</v>
      </c>
    </row>
    <row r="147" spans="1:14" ht="15.75" customHeight="1" x14ac:dyDescent="0.3">
      <c r="A147" s="5" t="s">
        <v>186</v>
      </c>
      <c r="B147" s="5" t="s">
        <v>14</v>
      </c>
      <c r="C147" s="7">
        <v>45799</v>
      </c>
      <c r="D147" s="5" t="s">
        <v>15</v>
      </c>
      <c r="E147" s="5" t="s">
        <v>16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5" t="s">
        <v>21</v>
      </c>
      <c r="M147" s="5" t="s">
        <v>22</v>
      </c>
      <c r="N147" s="24">
        <f t="shared" si="2"/>
        <v>8.1504318676747664E-2</v>
      </c>
    </row>
    <row r="148" spans="1:14" ht="15.75" customHeight="1" x14ac:dyDescent="0.3">
      <c r="A148" s="5" t="s">
        <v>187</v>
      </c>
      <c r="B148" s="5" t="s">
        <v>24</v>
      </c>
      <c r="C148" s="7">
        <v>45312</v>
      </c>
      <c r="D148" s="5" t="s">
        <v>25</v>
      </c>
      <c r="E148" s="5" t="s">
        <v>16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5" t="s">
        <v>27</v>
      </c>
      <c r="M148" s="5" t="s">
        <v>18</v>
      </c>
      <c r="N148" s="24">
        <f t="shared" si="2"/>
        <v>7.1988159338556151E-2</v>
      </c>
    </row>
    <row r="149" spans="1:14" ht="15.75" customHeight="1" x14ac:dyDescent="0.3">
      <c r="A149" s="5" t="s">
        <v>188</v>
      </c>
      <c r="B149" s="5" t="s">
        <v>24</v>
      </c>
      <c r="C149" s="7">
        <v>45696</v>
      </c>
      <c r="D149" s="5" t="s">
        <v>25</v>
      </c>
      <c r="E149" s="5" t="s">
        <v>51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5" t="s">
        <v>39</v>
      </c>
      <c r="M149" s="5" t="s">
        <v>18</v>
      </c>
      <c r="N149" s="24">
        <f t="shared" si="2"/>
        <v>0.10708707332819627</v>
      </c>
    </row>
    <row r="150" spans="1:14" ht="15.75" customHeight="1" x14ac:dyDescent="0.3">
      <c r="A150" s="5" t="s">
        <v>189</v>
      </c>
      <c r="B150" s="5" t="s">
        <v>24</v>
      </c>
      <c r="C150" s="7">
        <v>45760</v>
      </c>
      <c r="D150" s="5" t="s">
        <v>15</v>
      </c>
      <c r="E150" s="5" t="s">
        <v>49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5" t="s">
        <v>45</v>
      </c>
      <c r="M150" s="5" t="s">
        <v>22</v>
      </c>
      <c r="N150" s="24">
        <f t="shared" si="2"/>
        <v>8.1341895638137346E-2</v>
      </c>
    </row>
    <row r="151" spans="1:14" ht="15.75" customHeight="1" x14ac:dyDescent="0.3">
      <c r="A151" s="5" t="s">
        <v>190</v>
      </c>
      <c r="B151" s="5" t="s">
        <v>24</v>
      </c>
      <c r="C151" s="7">
        <v>45442</v>
      </c>
      <c r="D151" s="5" t="s">
        <v>25</v>
      </c>
      <c r="E151" s="5" t="s">
        <v>51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5" t="s">
        <v>27</v>
      </c>
      <c r="M151" s="5" t="s">
        <v>18</v>
      </c>
      <c r="N151" s="24">
        <f t="shared" si="2"/>
        <v>9.4928992718046723E-2</v>
      </c>
    </row>
    <row r="152" spans="1:14" ht="15.75" customHeight="1" x14ac:dyDescent="0.3">
      <c r="A152" s="5" t="s">
        <v>191</v>
      </c>
      <c r="B152" s="5" t="s">
        <v>14</v>
      </c>
      <c r="C152" s="7">
        <v>45516</v>
      </c>
      <c r="D152" s="5" t="s">
        <v>25</v>
      </c>
      <c r="E152" s="5" t="s">
        <v>16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5" t="s">
        <v>42</v>
      </c>
      <c r="M152" s="5" t="s">
        <v>55</v>
      </c>
      <c r="N152" s="24">
        <f t="shared" si="2"/>
        <v>6.9360859297630834E-2</v>
      </c>
    </row>
    <row r="153" spans="1:14" ht="15.75" customHeight="1" x14ac:dyDescent="0.3">
      <c r="A153" s="5" t="s">
        <v>192</v>
      </c>
      <c r="B153" s="5" t="s">
        <v>14</v>
      </c>
      <c r="C153" s="7">
        <v>45562</v>
      </c>
      <c r="D153" s="5" t="s">
        <v>15</v>
      </c>
      <c r="E153" s="5" t="s">
        <v>16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5" t="s">
        <v>21</v>
      </c>
      <c r="M153" s="5" t="s">
        <v>22</v>
      </c>
      <c r="N153" s="24">
        <f t="shared" si="2"/>
        <v>9.2425876010781671E-2</v>
      </c>
    </row>
    <row r="154" spans="1:14" ht="15.75" customHeight="1" x14ac:dyDescent="0.3">
      <c r="A154" s="5" t="s">
        <v>193</v>
      </c>
      <c r="B154" s="5" t="s">
        <v>24</v>
      </c>
      <c r="C154" s="7">
        <v>45819</v>
      </c>
      <c r="D154" s="5" t="s">
        <v>25</v>
      </c>
      <c r="E154" s="5" t="s">
        <v>20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5" t="s">
        <v>39</v>
      </c>
      <c r="M154" s="5" t="s">
        <v>18</v>
      </c>
      <c r="N154" s="24">
        <f t="shared" si="2"/>
        <v>8.2469701307376658E-2</v>
      </c>
    </row>
    <row r="155" spans="1:14" ht="15.75" customHeight="1" x14ac:dyDescent="0.3">
      <c r="A155" s="5" t="s">
        <v>194</v>
      </c>
      <c r="B155" s="5" t="s">
        <v>14</v>
      </c>
      <c r="C155" s="7">
        <v>45615</v>
      </c>
      <c r="D155" s="5" t="s">
        <v>15</v>
      </c>
      <c r="E155" s="5" t="s">
        <v>35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5" t="s">
        <v>21</v>
      </c>
      <c r="M155" s="5" t="s">
        <v>22</v>
      </c>
      <c r="N155" s="24">
        <f t="shared" si="2"/>
        <v>5.9585542168674697E-2</v>
      </c>
    </row>
    <row r="156" spans="1:14" ht="15.75" customHeight="1" x14ac:dyDescent="0.3">
      <c r="A156" s="5" t="s">
        <v>195</v>
      </c>
      <c r="B156" s="5" t="s">
        <v>14</v>
      </c>
      <c r="C156" s="7">
        <v>45407</v>
      </c>
      <c r="D156" s="5" t="s">
        <v>15</v>
      </c>
      <c r="E156" s="5" t="s">
        <v>32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5" t="s">
        <v>17</v>
      </c>
      <c r="M156" s="5" t="s">
        <v>18</v>
      </c>
      <c r="N156" s="24">
        <f t="shared" si="2"/>
        <v>0.10400389436534015</v>
      </c>
    </row>
    <row r="157" spans="1:14" ht="15.75" customHeight="1" x14ac:dyDescent="0.3">
      <c r="A157" s="5" t="s">
        <v>196</v>
      </c>
      <c r="B157" s="5" t="s">
        <v>31</v>
      </c>
      <c r="C157" s="7">
        <v>45538</v>
      </c>
      <c r="D157" s="5" t="s">
        <v>57</v>
      </c>
      <c r="E157" s="5" t="s">
        <v>35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5" t="s">
        <v>58</v>
      </c>
      <c r="M157" s="5" t="s">
        <v>59</v>
      </c>
      <c r="N157" s="24">
        <f t="shared" si="2"/>
        <v>3.8832755240536872E-2</v>
      </c>
    </row>
    <row r="158" spans="1:14" ht="15.75" customHeight="1" x14ac:dyDescent="0.3">
      <c r="A158" s="5" t="s">
        <v>197</v>
      </c>
      <c r="B158" s="5" t="s">
        <v>31</v>
      </c>
      <c r="C158" s="7">
        <v>45718</v>
      </c>
      <c r="D158" s="5" t="s">
        <v>15</v>
      </c>
      <c r="E158" s="5" t="s">
        <v>49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5" t="s">
        <v>33</v>
      </c>
      <c r="M158" s="5" t="s">
        <v>22</v>
      </c>
      <c r="N158" s="24">
        <f t="shared" si="2"/>
        <v>0.19390491670052823</v>
      </c>
    </row>
    <row r="159" spans="1:14" ht="15.75" customHeight="1" x14ac:dyDescent="0.3">
      <c r="A159" s="5" t="s">
        <v>198</v>
      </c>
      <c r="B159" s="5" t="s">
        <v>24</v>
      </c>
      <c r="C159" s="7">
        <v>45737</v>
      </c>
      <c r="D159" s="5" t="s">
        <v>25</v>
      </c>
      <c r="E159" s="5" t="s">
        <v>26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5" t="s">
        <v>39</v>
      </c>
      <c r="M159" s="5" t="s">
        <v>18</v>
      </c>
      <c r="N159" s="24">
        <f t="shared" si="2"/>
        <v>0.16116683482699271</v>
      </c>
    </row>
    <row r="160" spans="1:14" ht="15.75" customHeight="1" x14ac:dyDescent="0.3">
      <c r="A160" s="5" t="s">
        <v>199</v>
      </c>
      <c r="B160" s="5" t="s">
        <v>14</v>
      </c>
      <c r="C160" s="7">
        <v>45394</v>
      </c>
      <c r="D160" s="5" t="s">
        <v>25</v>
      </c>
      <c r="E160" s="5" t="s">
        <v>37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5" t="s">
        <v>42</v>
      </c>
      <c r="M160" s="5" t="s">
        <v>55</v>
      </c>
      <c r="N160" s="24">
        <f t="shared" si="2"/>
        <v>8.3133241487896081E-2</v>
      </c>
    </row>
    <row r="161" spans="1:14" ht="15.75" customHeight="1" x14ac:dyDescent="0.3">
      <c r="A161" s="5" t="s">
        <v>200</v>
      </c>
      <c r="B161" s="5" t="s">
        <v>31</v>
      </c>
      <c r="C161" s="7">
        <v>45330</v>
      </c>
      <c r="D161" s="5" t="s">
        <v>57</v>
      </c>
      <c r="E161" s="5" t="s">
        <v>41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5" t="s">
        <v>58</v>
      </c>
      <c r="M161" s="5" t="s">
        <v>59</v>
      </c>
      <c r="N161" s="24">
        <f t="shared" si="2"/>
        <v>4.9951325040562468E-2</v>
      </c>
    </row>
    <row r="162" spans="1:14" ht="15.75" customHeight="1" x14ac:dyDescent="0.3">
      <c r="A162" s="5" t="s">
        <v>201</v>
      </c>
      <c r="B162" s="5" t="s">
        <v>14</v>
      </c>
      <c r="C162" s="7">
        <v>45803</v>
      </c>
      <c r="D162" s="5" t="s">
        <v>15</v>
      </c>
      <c r="E162" s="5" t="s">
        <v>16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5" t="s">
        <v>21</v>
      </c>
      <c r="M162" s="5" t="s">
        <v>22</v>
      </c>
      <c r="N162" s="24">
        <f t="shared" si="2"/>
        <v>0.1552751489660007</v>
      </c>
    </row>
    <row r="163" spans="1:14" ht="15.75" customHeight="1" x14ac:dyDescent="0.3">
      <c r="A163" s="5" t="s">
        <v>202</v>
      </c>
      <c r="B163" s="5" t="s">
        <v>14</v>
      </c>
      <c r="C163" s="7">
        <v>45610</v>
      </c>
      <c r="D163" s="5" t="s">
        <v>15</v>
      </c>
      <c r="E163" s="5" t="s">
        <v>32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5" t="s">
        <v>17</v>
      </c>
      <c r="M163" s="5" t="s">
        <v>18</v>
      </c>
      <c r="N163" s="24">
        <f t="shared" si="2"/>
        <v>0.11258173796580792</v>
      </c>
    </row>
    <row r="164" spans="1:14" ht="15.75" customHeight="1" x14ac:dyDescent="0.3">
      <c r="A164" s="5" t="s">
        <v>203</v>
      </c>
      <c r="B164" s="5" t="s">
        <v>31</v>
      </c>
      <c r="C164" s="7">
        <v>45513</v>
      </c>
      <c r="D164" s="5" t="s">
        <v>57</v>
      </c>
      <c r="E164" s="5" t="s">
        <v>49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5" t="s">
        <v>58</v>
      </c>
      <c r="M164" s="5" t="s">
        <v>59</v>
      </c>
      <c r="N164" s="24">
        <f t="shared" si="2"/>
        <v>0.11046681895390383</v>
      </c>
    </row>
    <row r="165" spans="1:14" ht="15.75" customHeight="1" x14ac:dyDescent="0.3">
      <c r="A165" s="5" t="s">
        <v>204</v>
      </c>
      <c r="B165" s="5" t="s">
        <v>14</v>
      </c>
      <c r="C165" s="7">
        <v>45835</v>
      </c>
      <c r="D165" s="5" t="s">
        <v>25</v>
      </c>
      <c r="E165" s="5" t="s">
        <v>35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5" t="s">
        <v>42</v>
      </c>
      <c r="M165" s="5" t="s">
        <v>55</v>
      </c>
      <c r="N165" s="24">
        <f t="shared" si="2"/>
        <v>3.5523669554455448E-2</v>
      </c>
    </row>
    <row r="166" spans="1:14" ht="15.75" customHeight="1" x14ac:dyDescent="0.3">
      <c r="A166" s="5" t="s">
        <v>205</v>
      </c>
      <c r="B166" s="5" t="s">
        <v>14</v>
      </c>
      <c r="C166" s="7">
        <v>45420</v>
      </c>
      <c r="D166" s="5" t="s">
        <v>25</v>
      </c>
      <c r="E166" s="5" t="s">
        <v>32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5" t="s">
        <v>42</v>
      </c>
      <c r="M166" s="5" t="s">
        <v>55</v>
      </c>
      <c r="N166" s="24">
        <f t="shared" si="2"/>
        <v>0.10652531529884847</v>
      </c>
    </row>
    <row r="167" spans="1:14" ht="15.75" customHeight="1" x14ac:dyDescent="0.3">
      <c r="A167" s="5" t="s">
        <v>206</v>
      </c>
      <c r="B167" s="5" t="s">
        <v>14</v>
      </c>
      <c r="C167" s="7">
        <v>45387</v>
      </c>
      <c r="D167" s="5" t="s">
        <v>15</v>
      </c>
      <c r="E167" s="5" t="s">
        <v>26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5" t="s">
        <v>21</v>
      </c>
      <c r="M167" s="5" t="s">
        <v>22</v>
      </c>
      <c r="N167" s="24">
        <f t="shared" si="2"/>
        <v>9.2244407295403744E-2</v>
      </c>
    </row>
    <row r="168" spans="1:14" ht="15.75" customHeight="1" x14ac:dyDescent="0.3">
      <c r="A168" s="5" t="s">
        <v>207</v>
      </c>
      <c r="B168" s="5" t="s">
        <v>31</v>
      </c>
      <c r="C168" s="7">
        <v>45684</v>
      </c>
      <c r="D168" s="5" t="s">
        <v>15</v>
      </c>
      <c r="E168" s="5" t="s">
        <v>29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5" t="s">
        <v>33</v>
      </c>
      <c r="M168" s="5" t="s">
        <v>22</v>
      </c>
      <c r="N168" s="24">
        <f t="shared" si="2"/>
        <v>0.1612578785034196</v>
      </c>
    </row>
    <row r="169" spans="1:14" ht="15.75" customHeight="1" x14ac:dyDescent="0.3">
      <c r="A169" s="5" t="s">
        <v>208</v>
      </c>
      <c r="B169" s="5" t="s">
        <v>14</v>
      </c>
      <c r="C169" s="7">
        <v>45385</v>
      </c>
      <c r="D169" s="5" t="s">
        <v>15</v>
      </c>
      <c r="E169" s="5" t="s">
        <v>41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5" t="s">
        <v>17</v>
      </c>
      <c r="M169" s="5" t="s">
        <v>18</v>
      </c>
      <c r="N169" s="24">
        <f t="shared" si="2"/>
        <v>0.10143081434961637</v>
      </c>
    </row>
    <row r="170" spans="1:14" ht="15.75" customHeight="1" x14ac:dyDescent="0.3">
      <c r="A170" s="5" t="s">
        <v>209</v>
      </c>
      <c r="B170" s="5" t="s">
        <v>31</v>
      </c>
      <c r="C170" s="7">
        <v>45660</v>
      </c>
      <c r="D170" s="5" t="s">
        <v>15</v>
      </c>
      <c r="E170" s="5" t="s">
        <v>26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5" t="s">
        <v>33</v>
      </c>
      <c r="M170" s="5" t="s">
        <v>22</v>
      </c>
      <c r="N170" s="24">
        <f t="shared" si="2"/>
        <v>8.4528099363643333E-2</v>
      </c>
    </row>
    <row r="171" spans="1:14" ht="15.75" customHeight="1" x14ac:dyDescent="0.3">
      <c r="A171" s="5" t="s">
        <v>210</v>
      </c>
      <c r="B171" s="5" t="s">
        <v>24</v>
      </c>
      <c r="C171" s="7">
        <v>45619</v>
      </c>
      <c r="D171" s="5" t="s">
        <v>15</v>
      </c>
      <c r="E171" s="5" t="s">
        <v>26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5" t="s">
        <v>45</v>
      </c>
      <c r="M171" s="5" t="s">
        <v>22</v>
      </c>
      <c r="N171" s="24">
        <f t="shared" si="2"/>
        <v>0.15513030574705536</v>
      </c>
    </row>
    <row r="172" spans="1:14" ht="15.75" customHeight="1" x14ac:dyDescent="0.3">
      <c r="A172" s="5" t="s">
        <v>211</v>
      </c>
      <c r="B172" s="5" t="s">
        <v>14</v>
      </c>
      <c r="C172" s="7">
        <v>45536</v>
      </c>
      <c r="D172" s="5" t="s">
        <v>25</v>
      </c>
      <c r="E172" s="5" t="s">
        <v>29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5" t="s">
        <v>42</v>
      </c>
      <c r="M172" s="5" t="s">
        <v>55</v>
      </c>
      <c r="N172" s="24">
        <f t="shared" si="2"/>
        <v>9.8031707130274953E-2</v>
      </c>
    </row>
    <row r="173" spans="1:14" ht="15.75" customHeight="1" x14ac:dyDescent="0.3">
      <c r="A173" s="5" t="s">
        <v>212</v>
      </c>
      <c r="B173" s="5" t="s">
        <v>31</v>
      </c>
      <c r="C173" s="7">
        <v>45400</v>
      </c>
      <c r="D173" s="5" t="s">
        <v>15</v>
      </c>
      <c r="E173" s="5" t="s">
        <v>20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5" t="s">
        <v>33</v>
      </c>
      <c r="M173" s="5" t="s">
        <v>22</v>
      </c>
      <c r="N173" s="24">
        <f t="shared" si="2"/>
        <v>0.16447098339242397</v>
      </c>
    </row>
    <row r="174" spans="1:14" ht="15.75" customHeight="1" x14ac:dyDescent="0.3">
      <c r="A174" s="5" t="s">
        <v>213</v>
      </c>
      <c r="B174" s="5" t="s">
        <v>14</v>
      </c>
      <c r="C174" s="7">
        <v>45447</v>
      </c>
      <c r="D174" s="5" t="s">
        <v>15</v>
      </c>
      <c r="E174" s="5" t="s">
        <v>37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5" t="s">
        <v>21</v>
      </c>
      <c r="M174" s="5" t="s">
        <v>22</v>
      </c>
      <c r="N174" s="24">
        <f t="shared" si="2"/>
        <v>0.10077178019329269</v>
      </c>
    </row>
    <row r="175" spans="1:14" ht="15.75" customHeight="1" x14ac:dyDescent="0.3">
      <c r="A175" s="5" t="s">
        <v>214</v>
      </c>
      <c r="B175" s="5" t="s">
        <v>31</v>
      </c>
      <c r="C175" s="7">
        <v>45749</v>
      </c>
      <c r="D175" s="5" t="s">
        <v>15</v>
      </c>
      <c r="E175" s="5" t="s">
        <v>29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5" t="s">
        <v>33</v>
      </c>
      <c r="M175" s="5" t="s">
        <v>22</v>
      </c>
      <c r="N175" s="24">
        <f t="shared" si="2"/>
        <v>0.10256458679558846</v>
      </c>
    </row>
    <row r="176" spans="1:14" ht="15.75" customHeight="1" x14ac:dyDescent="0.3">
      <c r="A176" s="5" t="s">
        <v>215</v>
      </c>
      <c r="B176" s="5" t="s">
        <v>24</v>
      </c>
      <c r="C176" s="7">
        <v>45748</v>
      </c>
      <c r="D176" s="5" t="s">
        <v>25</v>
      </c>
      <c r="E176" s="5" t="s">
        <v>32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5" t="s">
        <v>39</v>
      </c>
      <c r="M176" s="5" t="s">
        <v>18</v>
      </c>
      <c r="N176" s="24">
        <f t="shared" si="2"/>
        <v>5.6980732739746021E-2</v>
      </c>
    </row>
    <row r="177" spans="1:14" ht="15.75" customHeight="1" x14ac:dyDescent="0.3">
      <c r="A177" s="5" t="s">
        <v>216</v>
      </c>
      <c r="B177" s="5" t="s">
        <v>14</v>
      </c>
      <c r="C177" s="7">
        <v>45475</v>
      </c>
      <c r="D177" s="5" t="s">
        <v>15</v>
      </c>
      <c r="E177" s="5" t="s">
        <v>41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5" t="s">
        <v>17</v>
      </c>
      <c r="M177" s="5" t="s">
        <v>18</v>
      </c>
      <c r="N177" s="24">
        <f t="shared" si="2"/>
        <v>8.4227733207149463E-2</v>
      </c>
    </row>
    <row r="178" spans="1:14" ht="15.75" customHeight="1" x14ac:dyDescent="0.3">
      <c r="A178" s="5" t="s">
        <v>217</v>
      </c>
      <c r="B178" s="5" t="s">
        <v>24</v>
      </c>
      <c r="C178" s="7">
        <v>45606</v>
      </c>
      <c r="D178" s="5" t="s">
        <v>15</v>
      </c>
      <c r="E178" s="5" t="s">
        <v>20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5" t="s">
        <v>45</v>
      </c>
      <c r="M178" s="5" t="s">
        <v>22</v>
      </c>
      <c r="N178" s="24">
        <f t="shared" si="2"/>
        <v>0.1728980597474592</v>
      </c>
    </row>
    <row r="179" spans="1:14" ht="15.75" customHeight="1" x14ac:dyDescent="0.3">
      <c r="A179" s="5" t="s">
        <v>218</v>
      </c>
      <c r="B179" s="5" t="s">
        <v>14</v>
      </c>
      <c r="C179" s="7">
        <v>45640</v>
      </c>
      <c r="D179" s="5" t="s">
        <v>25</v>
      </c>
      <c r="E179" s="5" t="s">
        <v>49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5" t="s">
        <v>42</v>
      </c>
      <c r="M179" s="5" t="s">
        <v>55</v>
      </c>
      <c r="N179" s="24">
        <f t="shared" si="2"/>
        <v>7.3899528727564417E-2</v>
      </c>
    </row>
    <row r="180" spans="1:14" ht="15.75" customHeight="1" x14ac:dyDescent="0.3">
      <c r="A180" s="5" t="s">
        <v>219</v>
      </c>
      <c r="B180" s="5" t="s">
        <v>24</v>
      </c>
      <c r="C180" s="7">
        <v>45615</v>
      </c>
      <c r="D180" s="5" t="s">
        <v>15</v>
      </c>
      <c r="E180" s="5" t="s">
        <v>20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5" t="s">
        <v>45</v>
      </c>
      <c r="M180" s="5" t="s">
        <v>22</v>
      </c>
      <c r="N180" s="24">
        <f t="shared" si="2"/>
        <v>7.090200025160398E-2</v>
      </c>
    </row>
    <row r="181" spans="1:14" ht="15.75" customHeight="1" x14ac:dyDescent="0.3">
      <c r="A181" s="5" t="s">
        <v>220</v>
      </c>
      <c r="B181" s="5" t="s">
        <v>24</v>
      </c>
      <c r="C181" s="7">
        <v>45777</v>
      </c>
      <c r="D181" s="5" t="s">
        <v>25</v>
      </c>
      <c r="E181" s="5" t="s">
        <v>29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5" t="s">
        <v>27</v>
      </c>
      <c r="M181" s="5" t="s">
        <v>18</v>
      </c>
      <c r="N181" s="24">
        <f t="shared" si="2"/>
        <v>7.7731488624869283E-2</v>
      </c>
    </row>
    <row r="182" spans="1:14" ht="15.75" customHeight="1" x14ac:dyDescent="0.3">
      <c r="A182" s="5" t="s">
        <v>221</v>
      </c>
      <c r="B182" s="5" t="s">
        <v>24</v>
      </c>
      <c r="C182" s="7">
        <v>45370</v>
      </c>
      <c r="D182" s="5" t="s">
        <v>15</v>
      </c>
      <c r="E182" s="5" t="s">
        <v>49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5" t="s">
        <v>45</v>
      </c>
      <c r="M182" s="5" t="s">
        <v>22</v>
      </c>
      <c r="N182" s="24">
        <f t="shared" si="2"/>
        <v>4.2982250109049422E-2</v>
      </c>
    </row>
    <row r="183" spans="1:14" ht="15.75" customHeight="1" x14ac:dyDescent="0.3">
      <c r="A183" s="5" t="s">
        <v>222</v>
      </c>
      <c r="B183" s="5" t="s">
        <v>14</v>
      </c>
      <c r="C183" s="7">
        <v>45370</v>
      </c>
      <c r="D183" s="5" t="s">
        <v>15</v>
      </c>
      <c r="E183" s="5" t="s">
        <v>49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5" t="s">
        <v>17</v>
      </c>
      <c r="M183" s="5" t="s">
        <v>18</v>
      </c>
      <c r="N183" s="24">
        <f t="shared" si="2"/>
        <v>7.2213401079707848E-2</v>
      </c>
    </row>
    <row r="184" spans="1:14" ht="15.75" customHeight="1" x14ac:dyDescent="0.3">
      <c r="A184" s="5" t="s">
        <v>223</v>
      </c>
      <c r="B184" s="5" t="s">
        <v>24</v>
      </c>
      <c r="C184" s="7">
        <v>45496</v>
      </c>
      <c r="D184" s="5" t="s">
        <v>15</v>
      </c>
      <c r="E184" s="5" t="s">
        <v>41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5" t="s">
        <v>45</v>
      </c>
      <c r="M184" s="5" t="s">
        <v>22</v>
      </c>
      <c r="N184" s="24">
        <f t="shared" si="2"/>
        <v>0.16743869209809265</v>
      </c>
    </row>
    <row r="185" spans="1:14" ht="15.75" customHeight="1" x14ac:dyDescent="0.3">
      <c r="A185" s="5" t="s">
        <v>224</v>
      </c>
      <c r="B185" s="5" t="s">
        <v>24</v>
      </c>
      <c r="C185" s="7">
        <v>45486</v>
      </c>
      <c r="D185" s="5" t="s">
        <v>25</v>
      </c>
      <c r="E185" s="5" t="s">
        <v>37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5" t="s">
        <v>27</v>
      </c>
      <c r="M185" s="5" t="s">
        <v>18</v>
      </c>
      <c r="N185" s="24">
        <f t="shared" si="2"/>
        <v>6.2648374965860634E-2</v>
      </c>
    </row>
    <row r="186" spans="1:14" ht="15.75" customHeight="1" x14ac:dyDescent="0.3">
      <c r="A186" s="5" t="s">
        <v>225</v>
      </c>
      <c r="B186" s="5" t="s">
        <v>31</v>
      </c>
      <c r="C186" s="7">
        <v>45769</v>
      </c>
      <c r="D186" s="5" t="s">
        <v>57</v>
      </c>
      <c r="E186" s="5" t="s">
        <v>26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5" t="s">
        <v>58</v>
      </c>
      <c r="M186" s="5" t="s">
        <v>59</v>
      </c>
      <c r="N186" s="24">
        <f t="shared" si="2"/>
        <v>8.5966298051606105E-2</v>
      </c>
    </row>
    <row r="187" spans="1:14" ht="15.75" customHeight="1" x14ac:dyDescent="0.3">
      <c r="A187" s="5" t="s">
        <v>226</v>
      </c>
      <c r="B187" s="5" t="s">
        <v>24</v>
      </c>
      <c r="C187" s="7">
        <v>45459</v>
      </c>
      <c r="D187" s="5" t="s">
        <v>25</v>
      </c>
      <c r="E187" s="5" t="s">
        <v>20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5" t="s">
        <v>27</v>
      </c>
      <c r="M187" s="5" t="s">
        <v>18</v>
      </c>
      <c r="N187" s="24">
        <f t="shared" si="2"/>
        <v>0.22967524699836073</v>
      </c>
    </row>
    <row r="188" spans="1:14" ht="15.75" customHeight="1" x14ac:dyDescent="0.3">
      <c r="A188" s="5" t="s">
        <v>227</v>
      </c>
      <c r="B188" s="5" t="s">
        <v>31</v>
      </c>
      <c r="C188" s="7">
        <v>45795</v>
      </c>
      <c r="D188" s="5" t="s">
        <v>57</v>
      </c>
      <c r="E188" s="5" t="s">
        <v>29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5" t="s">
        <v>58</v>
      </c>
      <c r="M188" s="5" t="s">
        <v>59</v>
      </c>
      <c r="N188" s="24">
        <f t="shared" si="2"/>
        <v>0.12920396165457337</v>
      </c>
    </row>
    <row r="189" spans="1:14" ht="15.75" customHeight="1" x14ac:dyDescent="0.3">
      <c r="A189" s="5" t="s">
        <v>228</v>
      </c>
      <c r="B189" s="5" t="s">
        <v>14</v>
      </c>
      <c r="C189" s="7">
        <v>45814</v>
      </c>
      <c r="D189" s="5" t="s">
        <v>15</v>
      </c>
      <c r="E189" s="5" t="s">
        <v>29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5" t="s">
        <v>21</v>
      </c>
      <c r="M189" s="5" t="s">
        <v>22</v>
      </c>
      <c r="N189" s="24">
        <f t="shared" si="2"/>
        <v>9.8222596516111871E-2</v>
      </c>
    </row>
    <row r="190" spans="1:14" ht="15.75" customHeight="1" x14ac:dyDescent="0.3">
      <c r="A190" s="5" t="s">
        <v>229</v>
      </c>
      <c r="B190" s="5" t="s">
        <v>31</v>
      </c>
      <c r="C190" s="7">
        <v>45708</v>
      </c>
      <c r="D190" s="5" t="s">
        <v>57</v>
      </c>
      <c r="E190" s="5" t="s">
        <v>37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5" t="s">
        <v>58</v>
      </c>
      <c r="M190" s="5" t="s">
        <v>59</v>
      </c>
      <c r="N190" s="24">
        <f t="shared" si="2"/>
        <v>0.11349824183418362</v>
      </c>
    </row>
    <row r="191" spans="1:14" ht="15.75" customHeight="1" x14ac:dyDescent="0.3">
      <c r="A191" s="5" t="s">
        <v>230</v>
      </c>
      <c r="B191" s="5" t="s">
        <v>14</v>
      </c>
      <c r="C191" s="7">
        <v>45673</v>
      </c>
      <c r="D191" s="5" t="s">
        <v>15</v>
      </c>
      <c r="E191" s="5" t="s">
        <v>32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5" t="s">
        <v>17</v>
      </c>
      <c r="M191" s="5" t="s">
        <v>18</v>
      </c>
      <c r="N191" s="24">
        <f t="shared" si="2"/>
        <v>9.4251731312692155E-2</v>
      </c>
    </row>
    <row r="192" spans="1:14" ht="15.75" customHeight="1" x14ac:dyDescent="0.3">
      <c r="A192" s="5" t="s">
        <v>231</v>
      </c>
      <c r="B192" s="5" t="s">
        <v>31</v>
      </c>
      <c r="C192" s="7">
        <v>45346</v>
      </c>
      <c r="D192" s="5" t="s">
        <v>57</v>
      </c>
      <c r="E192" s="5" t="s">
        <v>16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5" t="s">
        <v>58</v>
      </c>
      <c r="M192" s="5" t="s">
        <v>59</v>
      </c>
      <c r="N192" s="24">
        <f t="shared" si="2"/>
        <v>0.10173025732031943</v>
      </c>
    </row>
    <row r="193" spans="1:14" ht="15.75" customHeight="1" x14ac:dyDescent="0.3">
      <c r="A193" s="5" t="s">
        <v>232</v>
      </c>
      <c r="B193" s="5" t="s">
        <v>24</v>
      </c>
      <c r="C193" s="7">
        <v>45551</v>
      </c>
      <c r="D193" s="5" t="s">
        <v>25</v>
      </c>
      <c r="E193" s="5" t="s">
        <v>35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5" t="s">
        <v>39</v>
      </c>
      <c r="M193" s="5" t="s">
        <v>18</v>
      </c>
      <c r="N193" s="24">
        <f t="shared" si="2"/>
        <v>8.9237069349238848E-2</v>
      </c>
    </row>
    <row r="194" spans="1:14" ht="15.75" customHeight="1" x14ac:dyDescent="0.3">
      <c r="A194" s="5" t="s">
        <v>233</v>
      </c>
      <c r="B194" s="5" t="s">
        <v>31</v>
      </c>
      <c r="C194" s="7">
        <v>45447</v>
      </c>
      <c r="D194" s="5" t="s">
        <v>57</v>
      </c>
      <c r="E194" s="5" t="s">
        <v>29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5" t="s">
        <v>58</v>
      </c>
      <c r="M194" s="5" t="s">
        <v>59</v>
      </c>
      <c r="N194" s="24">
        <f t="shared" si="2"/>
        <v>6.5015829941203071E-2</v>
      </c>
    </row>
    <row r="195" spans="1:14" ht="15.75" customHeight="1" x14ac:dyDescent="0.3">
      <c r="A195" s="5" t="s">
        <v>234</v>
      </c>
      <c r="B195" s="5" t="s">
        <v>24</v>
      </c>
      <c r="C195" s="7">
        <v>45422</v>
      </c>
      <c r="D195" s="5" t="s">
        <v>25</v>
      </c>
      <c r="E195" s="5" t="s">
        <v>20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5" t="s">
        <v>27</v>
      </c>
      <c r="M195" s="5" t="s">
        <v>18</v>
      </c>
      <c r="N195" s="24">
        <f t="shared" ref="N195:N258" si="3">(F195+G195+H195)/I195</f>
        <v>5.6436966727204191E-2</v>
      </c>
    </row>
    <row r="196" spans="1:14" ht="15.75" customHeight="1" x14ac:dyDescent="0.3">
      <c r="A196" s="5" t="s">
        <v>235</v>
      </c>
      <c r="B196" s="5" t="s">
        <v>31</v>
      </c>
      <c r="C196" s="7">
        <v>45305</v>
      </c>
      <c r="D196" s="5" t="s">
        <v>15</v>
      </c>
      <c r="E196" s="5" t="s">
        <v>26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5" t="s">
        <v>33</v>
      </c>
      <c r="M196" s="5" t="s">
        <v>22</v>
      </c>
      <c r="N196" s="24">
        <f t="shared" si="3"/>
        <v>0.10713930842607314</v>
      </c>
    </row>
    <row r="197" spans="1:14" ht="15.75" customHeight="1" x14ac:dyDescent="0.3">
      <c r="A197" s="5" t="s">
        <v>236</v>
      </c>
      <c r="B197" s="5" t="s">
        <v>14</v>
      </c>
      <c r="C197" s="7">
        <v>45669</v>
      </c>
      <c r="D197" s="5" t="s">
        <v>15</v>
      </c>
      <c r="E197" s="5" t="s">
        <v>49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5" t="s">
        <v>17</v>
      </c>
      <c r="M197" s="5" t="s">
        <v>18</v>
      </c>
      <c r="N197" s="24">
        <f t="shared" si="3"/>
        <v>5.1833640647408315E-2</v>
      </c>
    </row>
    <row r="198" spans="1:14" ht="15.75" customHeight="1" x14ac:dyDescent="0.3">
      <c r="A198" s="5" t="s">
        <v>237</v>
      </c>
      <c r="B198" s="5" t="s">
        <v>31</v>
      </c>
      <c r="C198" s="7">
        <v>45634</v>
      </c>
      <c r="D198" s="5" t="s">
        <v>15</v>
      </c>
      <c r="E198" s="5" t="s">
        <v>41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5" t="s">
        <v>33</v>
      </c>
      <c r="M198" s="5" t="s">
        <v>22</v>
      </c>
      <c r="N198" s="24">
        <f t="shared" si="3"/>
        <v>3.5821698002251455E-2</v>
      </c>
    </row>
    <row r="199" spans="1:14" ht="15.75" customHeight="1" x14ac:dyDescent="0.3">
      <c r="A199" s="5" t="s">
        <v>238</v>
      </c>
      <c r="B199" s="5" t="s">
        <v>24</v>
      </c>
      <c r="C199" s="7">
        <v>45689</v>
      </c>
      <c r="D199" s="5" t="s">
        <v>25</v>
      </c>
      <c r="E199" s="5" t="s">
        <v>41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5" t="s">
        <v>17</v>
      </c>
      <c r="M199" s="5" t="s">
        <v>18</v>
      </c>
      <c r="N199" s="24">
        <f t="shared" si="3"/>
        <v>3.5034029141734799E-2</v>
      </c>
    </row>
    <row r="200" spans="1:14" ht="15.75" customHeight="1" x14ac:dyDescent="0.3">
      <c r="A200" s="5" t="s">
        <v>239</v>
      </c>
      <c r="B200" s="5" t="s">
        <v>24</v>
      </c>
      <c r="C200" s="7">
        <v>45484</v>
      </c>
      <c r="D200" s="5" t="s">
        <v>25</v>
      </c>
      <c r="E200" s="5" t="s">
        <v>37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5" t="s">
        <v>17</v>
      </c>
      <c r="M200" s="5" t="s">
        <v>18</v>
      </c>
      <c r="N200" s="24">
        <f t="shared" si="3"/>
        <v>0.13946227759085811</v>
      </c>
    </row>
    <row r="201" spans="1:14" ht="15.75" customHeight="1" x14ac:dyDescent="0.3">
      <c r="A201" s="5" t="s">
        <v>240</v>
      </c>
      <c r="B201" s="5" t="s">
        <v>24</v>
      </c>
      <c r="C201" s="7">
        <v>45369</v>
      </c>
      <c r="D201" s="5" t="s">
        <v>15</v>
      </c>
      <c r="E201" s="5" t="s">
        <v>26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5" t="s">
        <v>42</v>
      </c>
      <c r="M201" s="5" t="s">
        <v>18</v>
      </c>
      <c r="N201" s="24">
        <f t="shared" si="3"/>
        <v>4.5247823769763724E-2</v>
      </c>
    </row>
    <row r="202" spans="1:14" ht="15.75" customHeight="1" x14ac:dyDescent="0.3">
      <c r="A202" s="5" t="s">
        <v>241</v>
      </c>
      <c r="B202" s="5" t="s">
        <v>24</v>
      </c>
      <c r="C202" s="7">
        <v>45547</v>
      </c>
      <c r="D202" s="5" t="s">
        <v>25</v>
      </c>
      <c r="E202" s="5" t="s">
        <v>29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5" t="s">
        <v>27</v>
      </c>
      <c r="M202" s="5" t="s">
        <v>18</v>
      </c>
      <c r="N202" s="24">
        <f t="shared" si="3"/>
        <v>6.2974139146620034E-2</v>
      </c>
    </row>
    <row r="203" spans="1:14" ht="15.75" customHeight="1" x14ac:dyDescent="0.3">
      <c r="A203" s="5" t="s">
        <v>242</v>
      </c>
      <c r="B203" s="5" t="s">
        <v>24</v>
      </c>
      <c r="C203" s="7">
        <v>45302</v>
      </c>
      <c r="D203" s="5" t="s">
        <v>25</v>
      </c>
      <c r="E203" s="5" t="s">
        <v>29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5" t="s">
        <v>17</v>
      </c>
      <c r="M203" s="5" t="s">
        <v>18</v>
      </c>
      <c r="N203" s="24">
        <f t="shared" si="3"/>
        <v>0.10784235029699792</v>
      </c>
    </row>
    <row r="204" spans="1:14" ht="15.75" customHeight="1" x14ac:dyDescent="0.3">
      <c r="A204" s="5" t="s">
        <v>243</v>
      </c>
      <c r="B204" s="5" t="s">
        <v>14</v>
      </c>
      <c r="C204" s="7">
        <v>45571</v>
      </c>
      <c r="D204" s="5" t="s">
        <v>15</v>
      </c>
      <c r="E204" s="5" t="s">
        <v>41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5" t="s">
        <v>21</v>
      </c>
      <c r="M204" s="5" t="s">
        <v>22</v>
      </c>
      <c r="N204" s="24">
        <f t="shared" si="3"/>
        <v>8.2690258629040073E-2</v>
      </c>
    </row>
    <row r="205" spans="1:14" ht="15.75" customHeight="1" x14ac:dyDescent="0.3">
      <c r="A205" s="5" t="s">
        <v>244</v>
      </c>
      <c r="B205" s="5" t="s">
        <v>24</v>
      </c>
      <c r="C205" s="7">
        <v>45656</v>
      </c>
      <c r="D205" s="5" t="s">
        <v>15</v>
      </c>
      <c r="E205" s="5" t="s">
        <v>37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5" t="s">
        <v>42</v>
      </c>
      <c r="M205" s="5" t="s">
        <v>18</v>
      </c>
      <c r="N205" s="24">
        <f t="shared" si="3"/>
        <v>9.7836889180216949E-2</v>
      </c>
    </row>
    <row r="206" spans="1:14" ht="15.75" customHeight="1" x14ac:dyDescent="0.3">
      <c r="A206" s="5" t="s">
        <v>245</v>
      </c>
      <c r="B206" s="5" t="s">
        <v>24</v>
      </c>
      <c r="C206" s="7">
        <v>45763</v>
      </c>
      <c r="D206" s="5" t="s">
        <v>15</v>
      </c>
      <c r="E206" s="5" t="s">
        <v>29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5" t="s">
        <v>45</v>
      </c>
      <c r="M206" s="5" t="s">
        <v>22</v>
      </c>
      <c r="N206" s="24">
        <f t="shared" si="3"/>
        <v>7.7428927315357568E-2</v>
      </c>
    </row>
    <row r="207" spans="1:14" ht="15.75" customHeight="1" x14ac:dyDescent="0.3">
      <c r="A207" s="5" t="s">
        <v>246</v>
      </c>
      <c r="B207" s="5" t="s">
        <v>24</v>
      </c>
      <c r="C207" s="7">
        <v>45525</v>
      </c>
      <c r="D207" s="5" t="s">
        <v>25</v>
      </c>
      <c r="E207" s="5" t="s">
        <v>20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5" t="s">
        <v>39</v>
      </c>
      <c r="M207" s="5" t="s">
        <v>18</v>
      </c>
      <c r="N207" s="24">
        <f t="shared" si="3"/>
        <v>7.9782521843353188E-2</v>
      </c>
    </row>
    <row r="208" spans="1:14" ht="15.75" customHeight="1" x14ac:dyDescent="0.3">
      <c r="A208" s="5" t="s">
        <v>247</v>
      </c>
      <c r="B208" s="5" t="s">
        <v>24</v>
      </c>
      <c r="C208" s="7">
        <v>45387</v>
      </c>
      <c r="D208" s="5" t="s">
        <v>25</v>
      </c>
      <c r="E208" s="5" t="s">
        <v>29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5" t="s">
        <v>17</v>
      </c>
      <c r="M208" s="5" t="s">
        <v>18</v>
      </c>
      <c r="N208" s="24">
        <f t="shared" si="3"/>
        <v>7.1022341272152026E-2</v>
      </c>
    </row>
    <row r="209" spans="1:14" ht="15.75" customHeight="1" x14ac:dyDescent="0.3">
      <c r="A209" s="5" t="s">
        <v>248</v>
      </c>
      <c r="B209" s="5" t="s">
        <v>24</v>
      </c>
      <c r="C209" s="7">
        <v>45754</v>
      </c>
      <c r="D209" s="5" t="s">
        <v>15</v>
      </c>
      <c r="E209" s="5" t="s">
        <v>49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5" t="s">
        <v>45</v>
      </c>
      <c r="M209" s="5" t="s">
        <v>22</v>
      </c>
      <c r="N209" s="24">
        <f t="shared" si="3"/>
        <v>3.9319108127547353E-2</v>
      </c>
    </row>
    <row r="210" spans="1:14" ht="15.75" customHeight="1" x14ac:dyDescent="0.3">
      <c r="A210" s="5" t="s">
        <v>249</v>
      </c>
      <c r="B210" s="5" t="s">
        <v>24</v>
      </c>
      <c r="C210" s="7">
        <v>45492</v>
      </c>
      <c r="D210" s="5" t="s">
        <v>25</v>
      </c>
      <c r="E210" s="5" t="s">
        <v>35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5" t="s">
        <v>39</v>
      </c>
      <c r="M210" s="5" t="s">
        <v>18</v>
      </c>
      <c r="N210" s="24">
        <f t="shared" si="3"/>
        <v>7.7181741758116915E-2</v>
      </c>
    </row>
    <row r="211" spans="1:14" ht="15.75" customHeight="1" x14ac:dyDescent="0.3">
      <c r="A211" s="5" t="s">
        <v>250</v>
      </c>
      <c r="B211" s="5" t="s">
        <v>24</v>
      </c>
      <c r="C211" s="7">
        <v>45780</v>
      </c>
      <c r="D211" s="5" t="s">
        <v>25</v>
      </c>
      <c r="E211" s="5" t="s">
        <v>41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5" t="s">
        <v>17</v>
      </c>
      <c r="M211" s="5" t="s">
        <v>18</v>
      </c>
      <c r="N211" s="24">
        <f t="shared" si="3"/>
        <v>3.4110398272247981E-2</v>
      </c>
    </row>
    <row r="212" spans="1:14" ht="15.75" customHeight="1" x14ac:dyDescent="0.3">
      <c r="A212" s="5" t="s">
        <v>251</v>
      </c>
      <c r="B212" s="5" t="s">
        <v>24</v>
      </c>
      <c r="C212" s="7">
        <v>45396</v>
      </c>
      <c r="D212" s="5" t="s">
        <v>25</v>
      </c>
      <c r="E212" s="5" t="s">
        <v>16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5" t="s">
        <v>39</v>
      </c>
      <c r="M212" s="5" t="s">
        <v>18</v>
      </c>
      <c r="N212" s="24">
        <f t="shared" si="3"/>
        <v>3.1623578076525334E-2</v>
      </c>
    </row>
    <row r="213" spans="1:14" ht="15.75" customHeight="1" x14ac:dyDescent="0.3">
      <c r="A213" s="5" t="s">
        <v>252</v>
      </c>
      <c r="B213" s="5" t="s">
        <v>24</v>
      </c>
      <c r="C213" s="7">
        <v>45827</v>
      </c>
      <c r="D213" s="5" t="s">
        <v>25</v>
      </c>
      <c r="E213" s="5" t="s">
        <v>35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5" t="s">
        <v>39</v>
      </c>
      <c r="M213" s="5" t="s">
        <v>18</v>
      </c>
      <c r="N213" s="24">
        <f t="shared" si="3"/>
        <v>4.0153279184466734E-2</v>
      </c>
    </row>
    <row r="214" spans="1:14" ht="15.75" customHeight="1" x14ac:dyDescent="0.3">
      <c r="A214" s="5" t="s">
        <v>253</v>
      </c>
      <c r="B214" s="5" t="s">
        <v>14</v>
      </c>
      <c r="C214" s="7">
        <v>45832</v>
      </c>
      <c r="D214" s="5" t="s">
        <v>25</v>
      </c>
      <c r="E214" s="5" t="s">
        <v>37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5" t="s">
        <v>42</v>
      </c>
      <c r="M214" s="5" t="s">
        <v>55</v>
      </c>
      <c r="N214" s="24">
        <f t="shared" si="3"/>
        <v>0.17995832544042431</v>
      </c>
    </row>
    <row r="215" spans="1:14" ht="15.75" customHeight="1" x14ac:dyDescent="0.3">
      <c r="A215" s="5" t="s">
        <v>254</v>
      </c>
      <c r="B215" s="5" t="s">
        <v>24</v>
      </c>
      <c r="C215" s="7">
        <v>45574</v>
      </c>
      <c r="D215" s="5" t="s">
        <v>15</v>
      </c>
      <c r="E215" s="5" t="s">
        <v>29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5" t="s">
        <v>45</v>
      </c>
      <c r="M215" s="5" t="s">
        <v>22</v>
      </c>
      <c r="N215" s="24">
        <f t="shared" si="3"/>
        <v>0.12555218709398008</v>
      </c>
    </row>
    <row r="216" spans="1:14" ht="15.75" customHeight="1" x14ac:dyDescent="0.3">
      <c r="A216" s="5" t="s">
        <v>255</v>
      </c>
      <c r="B216" s="5" t="s">
        <v>31</v>
      </c>
      <c r="C216" s="7">
        <v>45672</v>
      </c>
      <c r="D216" s="5" t="s">
        <v>15</v>
      </c>
      <c r="E216" s="5" t="s">
        <v>51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5" t="s">
        <v>33</v>
      </c>
      <c r="M216" s="5" t="s">
        <v>22</v>
      </c>
      <c r="N216" s="24">
        <f t="shared" si="3"/>
        <v>8.2744836775483013E-2</v>
      </c>
    </row>
    <row r="217" spans="1:14" ht="15.75" customHeight="1" x14ac:dyDescent="0.3">
      <c r="A217" s="5" t="s">
        <v>256</v>
      </c>
      <c r="B217" s="5" t="s">
        <v>24</v>
      </c>
      <c r="C217" s="7">
        <v>45669</v>
      </c>
      <c r="D217" s="5" t="s">
        <v>15</v>
      </c>
      <c r="E217" s="5" t="s">
        <v>32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5" t="s">
        <v>45</v>
      </c>
      <c r="M217" s="5" t="s">
        <v>22</v>
      </c>
      <c r="N217" s="24">
        <f t="shared" si="3"/>
        <v>5.2041730205988429E-2</v>
      </c>
    </row>
    <row r="218" spans="1:14" ht="15.75" customHeight="1" x14ac:dyDescent="0.3">
      <c r="A218" s="5" t="s">
        <v>257</v>
      </c>
      <c r="B218" s="5" t="s">
        <v>14</v>
      </c>
      <c r="C218" s="7">
        <v>45808</v>
      </c>
      <c r="D218" s="5" t="s">
        <v>15</v>
      </c>
      <c r="E218" s="5" t="s">
        <v>35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5" t="s">
        <v>17</v>
      </c>
      <c r="M218" s="5" t="s">
        <v>18</v>
      </c>
      <c r="N218" s="24">
        <f t="shared" si="3"/>
        <v>9.4450189589796618E-2</v>
      </c>
    </row>
    <row r="219" spans="1:14" ht="15.75" customHeight="1" x14ac:dyDescent="0.3">
      <c r="A219" s="5" t="s">
        <v>258</v>
      </c>
      <c r="B219" s="5" t="s">
        <v>24</v>
      </c>
      <c r="C219" s="7">
        <v>45579</v>
      </c>
      <c r="D219" s="5" t="s">
        <v>25</v>
      </c>
      <c r="E219" s="5" t="s">
        <v>20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5" t="s">
        <v>39</v>
      </c>
      <c r="M219" s="5" t="s">
        <v>18</v>
      </c>
      <c r="N219" s="24">
        <f t="shared" si="3"/>
        <v>0.12409349336702463</v>
      </c>
    </row>
    <row r="220" spans="1:14" ht="15.75" customHeight="1" x14ac:dyDescent="0.3">
      <c r="A220" s="5" t="s">
        <v>259</v>
      </c>
      <c r="B220" s="5" t="s">
        <v>24</v>
      </c>
      <c r="C220" s="7">
        <v>45332</v>
      </c>
      <c r="D220" s="5" t="s">
        <v>15</v>
      </c>
      <c r="E220" s="5" t="s">
        <v>49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5" t="s">
        <v>45</v>
      </c>
      <c r="M220" s="5" t="s">
        <v>22</v>
      </c>
      <c r="N220" s="24">
        <f t="shared" si="3"/>
        <v>4.5610431884675749E-2</v>
      </c>
    </row>
    <row r="221" spans="1:14" ht="15.75" customHeight="1" x14ac:dyDescent="0.3">
      <c r="A221" s="5" t="s">
        <v>260</v>
      </c>
      <c r="B221" s="5" t="s">
        <v>31</v>
      </c>
      <c r="C221" s="7">
        <v>45636</v>
      </c>
      <c r="D221" s="5" t="s">
        <v>15</v>
      </c>
      <c r="E221" s="5" t="s">
        <v>35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5" t="s">
        <v>33</v>
      </c>
      <c r="M221" s="5" t="s">
        <v>22</v>
      </c>
      <c r="N221" s="24">
        <f t="shared" si="3"/>
        <v>8.0371103929948923E-2</v>
      </c>
    </row>
    <row r="222" spans="1:14" ht="15.75" customHeight="1" x14ac:dyDescent="0.3">
      <c r="A222" s="5" t="s">
        <v>261</v>
      </c>
      <c r="B222" s="5" t="s">
        <v>24</v>
      </c>
      <c r="C222" s="7">
        <v>45786</v>
      </c>
      <c r="D222" s="5" t="s">
        <v>25</v>
      </c>
      <c r="E222" s="5" t="s">
        <v>32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5" t="s">
        <v>27</v>
      </c>
      <c r="M222" s="5" t="s">
        <v>18</v>
      </c>
      <c r="N222" s="24">
        <f t="shared" si="3"/>
        <v>0.1271002400274317</v>
      </c>
    </row>
    <row r="223" spans="1:14" ht="15.75" customHeight="1" x14ac:dyDescent="0.3">
      <c r="A223" s="5" t="s">
        <v>262</v>
      </c>
      <c r="B223" s="5" t="s">
        <v>24</v>
      </c>
      <c r="C223" s="7">
        <v>45829</v>
      </c>
      <c r="D223" s="5" t="s">
        <v>15</v>
      </c>
      <c r="E223" s="5" t="s">
        <v>20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5" t="s">
        <v>42</v>
      </c>
      <c r="M223" s="5" t="s">
        <v>18</v>
      </c>
      <c r="N223" s="24">
        <f t="shared" si="3"/>
        <v>8.6602037169406718E-2</v>
      </c>
    </row>
    <row r="224" spans="1:14" ht="15.75" customHeight="1" x14ac:dyDescent="0.3">
      <c r="A224" s="5" t="s">
        <v>263</v>
      </c>
      <c r="B224" s="5" t="s">
        <v>24</v>
      </c>
      <c r="C224" s="7">
        <v>45462</v>
      </c>
      <c r="D224" s="5" t="s">
        <v>15</v>
      </c>
      <c r="E224" s="5" t="s">
        <v>35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5" t="s">
        <v>45</v>
      </c>
      <c r="M224" s="5" t="s">
        <v>22</v>
      </c>
      <c r="N224" s="24">
        <f t="shared" si="3"/>
        <v>2.9336922849977874E-2</v>
      </c>
    </row>
    <row r="225" spans="1:14" ht="15.75" customHeight="1" x14ac:dyDescent="0.3">
      <c r="A225" s="5" t="s">
        <v>264</v>
      </c>
      <c r="B225" s="5" t="s">
        <v>24</v>
      </c>
      <c r="C225" s="7">
        <v>45636</v>
      </c>
      <c r="D225" s="5" t="s">
        <v>15</v>
      </c>
      <c r="E225" s="5" t="s">
        <v>49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5" t="s">
        <v>42</v>
      </c>
      <c r="M225" s="5" t="s">
        <v>18</v>
      </c>
      <c r="N225" s="24">
        <f t="shared" si="3"/>
        <v>0.11126822801590809</v>
      </c>
    </row>
    <row r="226" spans="1:14" ht="15.75" customHeight="1" x14ac:dyDescent="0.3">
      <c r="A226" s="5" t="s">
        <v>265</v>
      </c>
      <c r="B226" s="5" t="s">
        <v>31</v>
      </c>
      <c r="C226" s="7">
        <v>45323</v>
      </c>
      <c r="D226" s="5" t="s">
        <v>15</v>
      </c>
      <c r="E226" s="5" t="s">
        <v>29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5" t="s">
        <v>33</v>
      </c>
      <c r="M226" s="5" t="s">
        <v>22</v>
      </c>
      <c r="N226" s="24">
        <f t="shared" si="3"/>
        <v>5.2566815966924252E-2</v>
      </c>
    </row>
    <row r="227" spans="1:14" ht="15.75" customHeight="1" x14ac:dyDescent="0.3">
      <c r="A227" s="5" t="s">
        <v>266</v>
      </c>
      <c r="B227" s="5" t="s">
        <v>24</v>
      </c>
      <c r="C227" s="7">
        <v>45308</v>
      </c>
      <c r="D227" s="5" t="s">
        <v>25</v>
      </c>
      <c r="E227" s="5" t="s">
        <v>26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5" t="s">
        <v>27</v>
      </c>
      <c r="M227" s="5" t="s">
        <v>18</v>
      </c>
      <c r="N227" s="24">
        <f t="shared" si="3"/>
        <v>5.2513742764570971E-2</v>
      </c>
    </row>
    <row r="228" spans="1:14" ht="15.75" customHeight="1" x14ac:dyDescent="0.3">
      <c r="A228" s="5" t="s">
        <v>267</v>
      </c>
      <c r="B228" s="5" t="s">
        <v>31</v>
      </c>
      <c r="C228" s="7">
        <v>45738</v>
      </c>
      <c r="D228" s="5" t="s">
        <v>15</v>
      </c>
      <c r="E228" s="5" t="s">
        <v>32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5" t="s">
        <v>33</v>
      </c>
      <c r="M228" s="5" t="s">
        <v>22</v>
      </c>
      <c r="N228" s="24">
        <f t="shared" si="3"/>
        <v>0.12406981463942633</v>
      </c>
    </row>
    <row r="229" spans="1:14" ht="15.75" customHeight="1" x14ac:dyDescent="0.3">
      <c r="A229" s="5" t="s">
        <v>268</v>
      </c>
      <c r="B229" s="5" t="s">
        <v>31</v>
      </c>
      <c r="C229" s="7">
        <v>45442</v>
      </c>
      <c r="D229" s="5" t="s">
        <v>57</v>
      </c>
      <c r="E229" s="5" t="s">
        <v>35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5" t="s">
        <v>58</v>
      </c>
      <c r="M229" s="5" t="s">
        <v>59</v>
      </c>
      <c r="N229" s="24">
        <f t="shared" si="3"/>
        <v>3.1839004091338254E-2</v>
      </c>
    </row>
    <row r="230" spans="1:14" ht="15.75" customHeight="1" x14ac:dyDescent="0.3">
      <c r="A230" s="5" t="s">
        <v>269</v>
      </c>
      <c r="B230" s="5" t="s">
        <v>31</v>
      </c>
      <c r="C230" s="7">
        <v>45346</v>
      </c>
      <c r="D230" s="5" t="s">
        <v>15</v>
      </c>
      <c r="E230" s="5" t="s">
        <v>32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5" t="s">
        <v>33</v>
      </c>
      <c r="M230" s="5" t="s">
        <v>22</v>
      </c>
      <c r="N230" s="24">
        <f t="shared" si="3"/>
        <v>9.191926295801392E-2</v>
      </c>
    </row>
    <row r="231" spans="1:14" ht="15.75" customHeight="1" x14ac:dyDescent="0.3">
      <c r="A231" s="5" t="s">
        <v>270</v>
      </c>
      <c r="B231" s="5" t="s">
        <v>31</v>
      </c>
      <c r="C231" s="7">
        <v>45791</v>
      </c>
      <c r="D231" s="5" t="s">
        <v>15</v>
      </c>
      <c r="E231" s="5" t="s">
        <v>16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5" t="s">
        <v>33</v>
      </c>
      <c r="M231" s="5" t="s">
        <v>22</v>
      </c>
      <c r="N231" s="24">
        <f t="shared" si="3"/>
        <v>4.9646286003031836E-2</v>
      </c>
    </row>
    <row r="232" spans="1:14" ht="15.75" customHeight="1" x14ac:dyDescent="0.3">
      <c r="A232" s="5" t="s">
        <v>271</v>
      </c>
      <c r="B232" s="5" t="s">
        <v>14</v>
      </c>
      <c r="C232" s="7">
        <v>45379</v>
      </c>
      <c r="D232" s="5" t="s">
        <v>15</v>
      </c>
      <c r="E232" s="5" t="s">
        <v>35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5" t="s">
        <v>17</v>
      </c>
      <c r="M232" s="5" t="s">
        <v>18</v>
      </c>
      <c r="N232" s="24">
        <f t="shared" si="3"/>
        <v>6.76784936509532E-2</v>
      </c>
    </row>
    <row r="233" spans="1:14" ht="15.75" customHeight="1" x14ac:dyDescent="0.3">
      <c r="A233" s="5" t="s">
        <v>272</v>
      </c>
      <c r="B233" s="5" t="s">
        <v>31</v>
      </c>
      <c r="C233" s="7">
        <v>45723</v>
      </c>
      <c r="D233" s="5" t="s">
        <v>15</v>
      </c>
      <c r="E233" s="5" t="s">
        <v>41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5" t="s">
        <v>33</v>
      </c>
      <c r="M233" s="5" t="s">
        <v>22</v>
      </c>
      <c r="N233" s="24">
        <f t="shared" si="3"/>
        <v>0.10985069273191947</v>
      </c>
    </row>
    <row r="234" spans="1:14" ht="15.75" customHeight="1" x14ac:dyDescent="0.3">
      <c r="A234" s="5" t="s">
        <v>273</v>
      </c>
      <c r="B234" s="5" t="s">
        <v>24</v>
      </c>
      <c r="C234" s="7">
        <v>45585</v>
      </c>
      <c r="D234" s="5" t="s">
        <v>15</v>
      </c>
      <c r="E234" s="5" t="s">
        <v>49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5" t="s">
        <v>42</v>
      </c>
      <c r="M234" s="5" t="s">
        <v>18</v>
      </c>
      <c r="N234" s="24">
        <f t="shared" si="3"/>
        <v>8.0741841282852611E-2</v>
      </c>
    </row>
    <row r="235" spans="1:14" ht="15.75" customHeight="1" x14ac:dyDescent="0.3">
      <c r="A235" s="5" t="s">
        <v>274</v>
      </c>
      <c r="B235" s="5" t="s">
        <v>24</v>
      </c>
      <c r="C235" s="7">
        <v>45324</v>
      </c>
      <c r="D235" s="5" t="s">
        <v>15</v>
      </c>
      <c r="E235" s="5" t="s">
        <v>49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5" t="s">
        <v>42</v>
      </c>
      <c r="M235" s="5" t="s">
        <v>18</v>
      </c>
      <c r="N235" s="24">
        <f t="shared" si="3"/>
        <v>0.16790703227603773</v>
      </c>
    </row>
    <row r="236" spans="1:14" ht="15.75" customHeight="1" x14ac:dyDescent="0.3">
      <c r="A236" s="5" t="s">
        <v>275</v>
      </c>
      <c r="B236" s="5" t="s">
        <v>31</v>
      </c>
      <c r="C236" s="7">
        <v>45542</v>
      </c>
      <c r="D236" s="5" t="s">
        <v>15</v>
      </c>
      <c r="E236" s="5" t="s">
        <v>51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5" t="s">
        <v>33</v>
      </c>
      <c r="M236" s="5" t="s">
        <v>22</v>
      </c>
      <c r="N236" s="24">
        <f t="shared" si="3"/>
        <v>6.4655069273288512E-2</v>
      </c>
    </row>
    <row r="237" spans="1:14" ht="15.75" customHeight="1" x14ac:dyDescent="0.3">
      <c r="A237" s="5" t="s">
        <v>276</v>
      </c>
      <c r="B237" s="5" t="s">
        <v>14</v>
      </c>
      <c r="C237" s="7">
        <v>45646</v>
      </c>
      <c r="D237" s="5" t="s">
        <v>15</v>
      </c>
      <c r="E237" s="5" t="s">
        <v>16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5" t="s">
        <v>21</v>
      </c>
      <c r="M237" s="5" t="s">
        <v>22</v>
      </c>
      <c r="N237" s="24">
        <f t="shared" si="3"/>
        <v>8.1666436749896543E-2</v>
      </c>
    </row>
    <row r="238" spans="1:14" ht="15.75" customHeight="1" x14ac:dyDescent="0.3">
      <c r="A238" s="5" t="s">
        <v>277</v>
      </c>
      <c r="B238" s="5" t="s">
        <v>31</v>
      </c>
      <c r="C238" s="7">
        <v>45305</v>
      </c>
      <c r="D238" s="5" t="s">
        <v>15</v>
      </c>
      <c r="E238" s="5" t="s">
        <v>35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5" t="s">
        <v>33</v>
      </c>
      <c r="M238" s="5" t="s">
        <v>22</v>
      </c>
      <c r="N238" s="24">
        <f t="shared" si="3"/>
        <v>0.13077197816215114</v>
      </c>
    </row>
    <row r="239" spans="1:14" ht="15.75" customHeight="1" x14ac:dyDescent="0.3">
      <c r="A239" s="5" t="s">
        <v>278</v>
      </c>
      <c r="B239" s="5" t="s">
        <v>14</v>
      </c>
      <c r="C239" s="7">
        <v>45823</v>
      </c>
      <c r="D239" s="5" t="s">
        <v>15</v>
      </c>
      <c r="E239" s="5" t="s">
        <v>20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5" t="s">
        <v>17</v>
      </c>
      <c r="M239" s="5" t="s">
        <v>18</v>
      </c>
      <c r="N239" s="24">
        <f t="shared" si="3"/>
        <v>5.3094209744904843E-2</v>
      </c>
    </row>
    <row r="240" spans="1:14" ht="15.75" customHeight="1" x14ac:dyDescent="0.3">
      <c r="A240" s="5" t="s">
        <v>279</v>
      </c>
      <c r="B240" s="5" t="s">
        <v>24</v>
      </c>
      <c r="C240" s="7">
        <v>45639</v>
      </c>
      <c r="D240" s="5" t="s">
        <v>25</v>
      </c>
      <c r="E240" s="5" t="s">
        <v>26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5" t="s">
        <v>27</v>
      </c>
      <c r="M240" s="5" t="s">
        <v>18</v>
      </c>
      <c r="N240" s="24">
        <f t="shared" si="3"/>
        <v>0.17088145896656534</v>
      </c>
    </row>
    <row r="241" spans="1:14" ht="15.75" customHeight="1" x14ac:dyDescent="0.3">
      <c r="A241" s="5" t="s">
        <v>280</v>
      </c>
      <c r="B241" s="5" t="s">
        <v>31</v>
      </c>
      <c r="C241" s="7">
        <v>45533</v>
      </c>
      <c r="D241" s="5" t="s">
        <v>15</v>
      </c>
      <c r="E241" s="5" t="s">
        <v>29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5" t="s">
        <v>33</v>
      </c>
      <c r="M241" s="5" t="s">
        <v>22</v>
      </c>
      <c r="N241" s="24">
        <f t="shared" si="3"/>
        <v>0.10547128720437092</v>
      </c>
    </row>
    <row r="242" spans="1:14" ht="15.75" customHeight="1" x14ac:dyDescent="0.3">
      <c r="A242" s="5" t="s">
        <v>281</v>
      </c>
      <c r="B242" s="5" t="s">
        <v>24</v>
      </c>
      <c r="C242" s="7">
        <v>45550</v>
      </c>
      <c r="D242" s="5" t="s">
        <v>15</v>
      </c>
      <c r="E242" s="5" t="s">
        <v>37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5" t="s">
        <v>42</v>
      </c>
      <c r="M242" s="5" t="s">
        <v>18</v>
      </c>
      <c r="N242" s="24">
        <f t="shared" si="3"/>
        <v>4.819683813738912E-2</v>
      </c>
    </row>
    <row r="243" spans="1:14" ht="15.75" customHeight="1" x14ac:dyDescent="0.3">
      <c r="A243" s="5" t="s">
        <v>282</v>
      </c>
      <c r="B243" s="5" t="s">
        <v>24</v>
      </c>
      <c r="C243" s="7">
        <v>45759</v>
      </c>
      <c r="D243" s="5" t="s">
        <v>25</v>
      </c>
      <c r="E243" s="5" t="s">
        <v>49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5" t="s">
        <v>39</v>
      </c>
      <c r="M243" s="5" t="s">
        <v>18</v>
      </c>
      <c r="N243" s="24">
        <f t="shared" si="3"/>
        <v>0.13404136389044158</v>
      </c>
    </row>
    <row r="244" spans="1:14" ht="15.75" customHeight="1" x14ac:dyDescent="0.3">
      <c r="A244" s="5" t="s">
        <v>283</v>
      </c>
      <c r="B244" s="5" t="s">
        <v>24</v>
      </c>
      <c r="C244" s="7">
        <v>45636</v>
      </c>
      <c r="D244" s="5" t="s">
        <v>25</v>
      </c>
      <c r="E244" s="5" t="s">
        <v>29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5" t="s">
        <v>39</v>
      </c>
      <c r="M244" s="5" t="s">
        <v>18</v>
      </c>
      <c r="N244" s="24">
        <f t="shared" si="3"/>
        <v>9.8193807339449546E-2</v>
      </c>
    </row>
    <row r="245" spans="1:14" ht="15.75" customHeight="1" x14ac:dyDescent="0.3">
      <c r="A245" s="5" t="s">
        <v>284</v>
      </c>
      <c r="B245" s="5" t="s">
        <v>31</v>
      </c>
      <c r="C245" s="7">
        <v>45816</v>
      </c>
      <c r="D245" s="5" t="s">
        <v>15</v>
      </c>
      <c r="E245" s="5" t="s">
        <v>32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5" t="s">
        <v>33</v>
      </c>
      <c r="M245" s="5" t="s">
        <v>22</v>
      </c>
      <c r="N245" s="24">
        <f t="shared" si="3"/>
        <v>8.6517714206166912E-2</v>
      </c>
    </row>
    <row r="246" spans="1:14" ht="15.75" customHeight="1" x14ac:dyDescent="0.3">
      <c r="A246" s="5" t="s">
        <v>285</v>
      </c>
      <c r="B246" s="5" t="s">
        <v>24</v>
      </c>
      <c r="C246" s="7">
        <v>45666</v>
      </c>
      <c r="D246" s="5" t="s">
        <v>25</v>
      </c>
      <c r="E246" s="5" t="s">
        <v>51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5" t="s">
        <v>27</v>
      </c>
      <c r="M246" s="5" t="s">
        <v>18</v>
      </c>
      <c r="N246" s="24">
        <f t="shared" si="3"/>
        <v>9.2712236723090841E-2</v>
      </c>
    </row>
    <row r="247" spans="1:14" ht="15.75" customHeight="1" x14ac:dyDescent="0.3">
      <c r="A247" s="5" t="s">
        <v>286</v>
      </c>
      <c r="B247" s="5" t="s">
        <v>24</v>
      </c>
      <c r="C247" s="7">
        <v>45481</v>
      </c>
      <c r="D247" s="5" t="s">
        <v>25</v>
      </c>
      <c r="E247" s="5" t="s">
        <v>41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5" t="s">
        <v>17</v>
      </c>
      <c r="M247" s="5" t="s">
        <v>18</v>
      </c>
      <c r="N247" s="24">
        <f t="shared" si="3"/>
        <v>0.16477245248343569</v>
      </c>
    </row>
    <row r="248" spans="1:14" ht="15.75" customHeight="1" x14ac:dyDescent="0.3">
      <c r="A248" s="5" t="s">
        <v>287</v>
      </c>
      <c r="B248" s="5" t="s">
        <v>24</v>
      </c>
      <c r="C248" s="7">
        <v>45551</v>
      </c>
      <c r="D248" s="5" t="s">
        <v>25</v>
      </c>
      <c r="E248" s="5" t="s">
        <v>51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5" t="s">
        <v>39</v>
      </c>
      <c r="M248" s="5" t="s">
        <v>18</v>
      </c>
      <c r="N248" s="24">
        <f t="shared" si="3"/>
        <v>7.1354340971940891E-2</v>
      </c>
    </row>
    <row r="249" spans="1:14" ht="15.75" customHeight="1" x14ac:dyDescent="0.3">
      <c r="A249" s="5" t="s">
        <v>288</v>
      </c>
      <c r="B249" s="5" t="s">
        <v>31</v>
      </c>
      <c r="C249" s="7">
        <v>45457</v>
      </c>
      <c r="D249" s="5" t="s">
        <v>57</v>
      </c>
      <c r="E249" s="5" t="s">
        <v>29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5" t="s">
        <v>58</v>
      </c>
      <c r="M249" s="5" t="s">
        <v>59</v>
      </c>
      <c r="N249" s="24">
        <f t="shared" si="3"/>
        <v>0.19261223173659131</v>
      </c>
    </row>
    <row r="250" spans="1:14" ht="15.75" customHeight="1" x14ac:dyDescent="0.3">
      <c r="A250" s="5" t="s">
        <v>289</v>
      </c>
      <c r="B250" s="5" t="s">
        <v>14</v>
      </c>
      <c r="C250" s="7">
        <v>45357</v>
      </c>
      <c r="D250" s="5" t="s">
        <v>15</v>
      </c>
      <c r="E250" s="5" t="s">
        <v>35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5" t="s">
        <v>21</v>
      </c>
      <c r="M250" s="5" t="s">
        <v>22</v>
      </c>
      <c r="N250" s="24">
        <f t="shared" si="3"/>
        <v>0.14674444862627023</v>
      </c>
    </row>
    <row r="251" spans="1:14" ht="15.75" customHeight="1" x14ac:dyDescent="0.3">
      <c r="A251" s="5" t="s">
        <v>290</v>
      </c>
      <c r="B251" s="5" t="s">
        <v>24</v>
      </c>
      <c r="C251" s="7">
        <v>45792</v>
      </c>
      <c r="D251" s="5" t="s">
        <v>15</v>
      </c>
      <c r="E251" s="5" t="s">
        <v>51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5" t="s">
        <v>42</v>
      </c>
      <c r="M251" s="5" t="s">
        <v>18</v>
      </c>
      <c r="N251" s="24">
        <f t="shared" si="3"/>
        <v>0.17799483100057059</v>
      </c>
    </row>
    <row r="252" spans="1:14" ht="15.75" customHeight="1" x14ac:dyDescent="0.3">
      <c r="A252" s="5" t="s">
        <v>291</v>
      </c>
      <c r="B252" s="5" t="s">
        <v>24</v>
      </c>
      <c r="C252" s="7">
        <v>45480</v>
      </c>
      <c r="D252" s="5" t="s">
        <v>15</v>
      </c>
      <c r="E252" s="5" t="s">
        <v>35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5" t="s">
        <v>45</v>
      </c>
      <c r="M252" s="5" t="s">
        <v>22</v>
      </c>
      <c r="N252" s="24">
        <f t="shared" si="3"/>
        <v>4.4258807658382193E-2</v>
      </c>
    </row>
    <row r="253" spans="1:14" ht="15.75" customHeight="1" x14ac:dyDescent="0.3">
      <c r="A253" s="5" t="s">
        <v>292</v>
      </c>
      <c r="B253" s="5" t="s">
        <v>31</v>
      </c>
      <c r="C253" s="7">
        <v>45591</v>
      </c>
      <c r="D253" s="5" t="s">
        <v>15</v>
      </c>
      <c r="E253" s="5" t="s">
        <v>26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5" t="s">
        <v>33</v>
      </c>
      <c r="M253" s="5" t="s">
        <v>22</v>
      </c>
      <c r="N253" s="24">
        <f t="shared" si="3"/>
        <v>0.10762898272970794</v>
      </c>
    </row>
    <row r="254" spans="1:14" ht="15.75" customHeight="1" x14ac:dyDescent="0.3">
      <c r="A254" s="5" t="s">
        <v>293</v>
      </c>
      <c r="B254" s="5" t="s">
        <v>31</v>
      </c>
      <c r="C254" s="7">
        <v>45512</v>
      </c>
      <c r="D254" s="5" t="s">
        <v>15</v>
      </c>
      <c r="E254" s="5" t="s">
        <v>49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5" t="s">
        <v>33</v>
      </c>
      <c r="M254" s="5" t="s">
        <v>22</v>
      </c>
      <c r="N254" s="24">
        <f t="shared" si="3"/>
        <v>5.0121212121212122E-2</v>
      </c>
    </row>
    <row r="255" spans="1:14" ht="15.75" customHeight="1" x14ac:dyDescent="0.3">
      <c r="A255" s="5" t="s">
        <v>294</v>
      </c>
      <c r="B255" s="5" t="s">
        <v>24</v>
      </c>
      <c r="C255" s="7">
        <v>45691</v>
      </c>
      <c r="D255" s="5" t="s">
        <v>15</v>
      </c>
      <c r="E255" s="5" t="s">
        <v>35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5" t="s">
        <v>42</v>
      </c>
      <c r="M255" s="5" t="s">
        <v>18</v>
      </c>
      <c r="N255" s="24">
        <f t="shared" si="3"/>
        <v>0.15451192239551567</v>
      </c>
    </row>
    <row r="256" spans="1:14" ht="15.75" customHeight="1" x14ac:dyDescent="0.3">
      <c r="A256" s="5" t="s">
        <v>295</v>
      </c>
      <c r="B256" s="5" t="s">
        <v>24</v>
      </c>
      <c r="C256" s="7">
        <v>45385</v>
      </c>
      <c r="D256" s="5" t="s">
        <v>25</v>
      </c>
      <c r="E256" s="5" t="s">
        <v>41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5" t="s">
        <v>39</v>
      </c>
      <c r="M256" s="5" t="s">
        <v>18</v>
      </c>
      <c r="N256" s="24">
        <f t="shared" si="3"/>
        <v>5.7503193495407452E-2</v>
      </c>
    </row>
    <row r="257" spans="1:14" ht="15.75" customHeight="1" x14ac:dyDescent="0.3">
      <c r="A257" s="5" t="s">
        <v>296</v>
      </c>
      <c r="B257" s="5" t="s">
        <v>24</v>
      </c>
      <c r="C257" s="7">
        <v>45481</v>
      </c>
      <c r="D257" s="5" t="s">
        <v>25</v>
      </c>
      <c r="E257" s="5" t="s">
        <v>29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5" t="s">
        <v>27</v>
      </c>
      <c r="M257" s="5" t="s">
        <v>18</v>
      </c>
      <c r="N257" s="24">
        <f t="shared" si="3"/>
        <v>5.2312660271630736E-2</v>
      </c>
    </row>
    <row r="258" spans="1:14" ht="15.75" customHeight="1" x14ac:dyDescent="0.3">
      <c r="A258" s="5" t="s">
        <v>297</v>
      </c>
      <c r="B258" s="5" t="s">
        <v>24</v>
      </c>
      <c r="C258" s="7">
        <v>45451</v>
      </c>
      <c r="D258" s="5" t="s">
        <v>25</v>
      </c>
      <c r="E258" s="5" t="s">
        <v>41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5" t="s">
        <v>39</v>
      </c>
      <c r="M258" s="5" t="s">
        <v>18</v>
      </c>
      <c r="N258" s="24">
        <f t="shared" si="3"/>
        <v>8.5608773500447627E-2</v>
      </c>
    </row>
    <row r="259" spans="1:14" ht="15.75" customHeight="1" x14ac:dyDescent="0.3">
      <c r="A259" s="5" t="s">
        <v>298</v>
      </c>
      <c r="B259" s="5" t="s">
        <v>31</v>
      </c>
      <c r="C259" s="7">
        <v>45736</v>
      </c>
      <c r="D259" s="5" t="s">
        <v>57</v>
      </c>
      <c r="E259" s="5" t="s">
        <v>49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5" t="s">
        <v>58</v>
      </c>
      <c r="M259" s="5" t="s">
        <v>59</v>
      </c>
      <c r="N259" s="24">
        <f t="shared" ref="N259:N301" si="4">(F259+G259+H259)/I259</f>
        <v>3.3729709324273313E-2</v>
      </c>
    </row>
    <row r="260" spans="1:14" ht="15.75" customHeight="1" x14ac:dyDescent="0.3">
      <c r="A260" s="5" t="s">
        <v>299</v>
      </c>
      <c r="B260" s="5" t="s">
        <v>24</v>
      </c>
      <c r="C260" s="7">
        <v>45676</v>
      </c>
      <c r="D260" s="5" t="s">
        <v>25</v>
      </c>
      <c r="E260" s="5" t="s">
        <v>32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5" t="s">
        <v>17</v>
      </c>
      <c r="M260" s="5" t="s">
        <v>18</v>
      </c>
      <c r="N260" s="24">
        <f t="shared" si="4"/>
        <v>7.5077784691972627E-2</v>
      </c>
    </row>
    <row r="261" spans="1:14" ht="15.75" customHeight="1" x14ac:dyDescent="0.3">
      <c r="A261" s="5" t="s">
        <v>300</v>
      </c>
      <c r="B261" s="5" t="s">
        <v>24</v>
      </c>
      <c r="C261" s="7">
        <v>45662</v>
      </c>
      <c r="D261" s="5" t="s">
        <v>25</v>
      </c>
      <c r="E261" s="5" t="s">
        <v>20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5" t="s">
        <v>27</v>
      </c>
      <c r="M261" s="5" t="s">
        <v>18</v>
      </c>
      <c r="N261" s="24">
        <f t="shared" si="4"/>
        <v>8.3423643616408028E-2</v>
      </c>
    </row>
    <row r="262" spans="1:14" ht="15.75" customHeight="1" x14ac:dyDescent="0.3">
      <c r="A262" s="5" t="s">
        <v>301</v>
      </c>
      <c r="B262" s="5" t="s">
        <v>24</v>
      </c>
      <c r="C262" s="7">
        <v>45612</v>
      </c>
      <c r="D262" s="5" t="s">
        <v>15</v>
      </c>
      <c r="E262" s="5" t="s">
        <v>49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5" t="s">
        <v>45</v>
      </c>
      <c r="M262" s="5" t="s">
        <v>22</v>
      </c>
      <c r="N262" s="24">
        <f t="shared" si="4"/>
        <v>6.8477000386548123E-2</v>
      </c>
    </row>
    <row r="263" spans="1:14" ht="15.75" customHeight="1" x14ac:dyDescent="0.3">
      <c r="A263" s="5" t="s">
        <v>302</v>
      </c>
      <c r="B263" s="5" t="s">
        <v>24</v>
      </c>
      <c r="C263" s="7">
        <v>45626</v>
      </c>
      <c r="D263" s="5" t="s">
        <v>25</v>
      </c>
      <c r="E263" s="5" t="s">
        <v>20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5" t="s">
        <v>27</v>
      </c>
      <c r="M263" s="5" t="s">
        <v>18</v>
      </c>
      <c r="N263" s="24">
        <f t="shared" si="4"/>
        <v>0.12190780876853062</v>
      </c>
    </row>
    <row r="264" spans="1:14" ht="15.75" customHeight="1" x14ac:dyDescent="0.3">
      <c r="A264" s="5" t="s">
        <v>303</v>
      </c>
      <c r="B264" s="5" t="s">
        <v>31</v>
      </c>
      <c r="C264" s="7">
        <v>45378</v>
      </c>
      <c r="D264" s="5" t="s">
        <v>15</v>
      </c>
      <c r="E264" s="5" t="s">
        <v>32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5" t="s">
        <v>33</v>
      </c>
      <c r="M264" s="5" t="s">
        <v>22</v>
      </c>
      <c r="N264" s="24">
        <f t="shared" si="4"/>
        <v>5.4473577117609438E-2</v>
      </c>
    </row>
    <row r="265" spans="1:14" ht="15.75" customHeight="1" x14ac:dyDescent="0.3">
      <c r="A265" s="5" t="s">
        <v>304</v>
      </c>
      <c r="B265" s="5" t="s">
        <v>31</v>
      </c>
      <c r="C265" s="7">
        <v>45808</v>
      </c>
      <c r="D265" s="5" t="s">
        <v>57</v>
      </c>
      <c r="E265" s="5" t="s">
        <v>37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5" t="s">
        <v>58</v>
      </c>
      <c r="M265" s="5" t="s">
        <v>59</v>
      </c>
      <c r="N265" s="24">
        <f t="shared" si="4"/>
        <v>5.4859907104176028E-2</v>
      </c>
    </row>
    <row r="266" spans="1:14" ht="15.75" customHeight="1" x14ac:dyDescent="0.3">
      <c r="A266" s="5" t="s">
        <v>305</v>
      </c>
      <c r="B266" s="5" t="s">
        <v>24</v>
      </c>
      <c r="C266" s="7">
        <v>45825</v>
      </c>
      <c r="D266" s="5" t="s">
        <v>25</v>
      </c>
      <c r="E266" s="5" t="s">
        <v>20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5" t="s">
        <v>39</v>
      </c>
      <c r="M266" s="5" t="s">
        <v>18</v>
      </c>
      <c r="N266" s="24">
        <f t="shared" si="4"/>
        <v>9.0752980172121162E-2</v>
      </c>
    </row>
    <row r="267" spans="1:14" ht="15.75" customHeight="1" x14ac:dyDescent="0.3">
      <c r="A267" s="5" t="s">
        <v>306</v>
      </c>
      <c r="B267" s="5" t="s">
        <v>14</v>
      </c>
      <c r="C267" s="7">
        <v>45442</v>
      </c>
      <c r="D267" s="5" t="s">
        <v>25</v>
      </c>
      <c r="E267" s="5" t="s">
        <v>37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5" t="s">
        <v>42</v>
      </c>
      <c r="M267" s="5" t="s">
        <v>55</v>
      </c>
      <c r="N267" s="24">
        <f t="shared" si="4"/>
        <v>0.11695224773672146</v>
      </c>
    </row>
    <row r="268" spans="1:14" ht="15.75" customHeight="1" x14ac:dyDescent="0.3">
      <c r="A268" s="5" t="s">
        <v>307</v>
      </c>
      <c r="B268" s="5" t="s">
        <v>31</v>
      </c>
      <c r="C268" s="7">
        <v>45604</v>
      </c>
      <c r="D268" s="5" t="s">
        <v>15</v>
      </c>
      <c r="E268" s="5" t="s">
        <v>41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5" t="s">
        <v>33</v>
      </c>
      <c r="M268" s="5" t="s">
        <v>22</v>
      </c>
      <c r="N268" s="24">
        <f t="shared" si="4"/>
        <v>6.1279893894806647E-2</v>
      </c>
    </row>
    <row r="269" spans="1:14" ht="15.75" customHeight="1" x14ac:dyDescent="0.3">
      <c r="A269" s="5" t="s">
        <v>308</v>
      </c>
      <c r="B269" s="5" t="s">
        <v>31</v>
      </c>
      <c r="C269" s="7">
        <v>45368</v>
      </c>
      <c r="D269" s="5" t="s">
        <v>57</v>
      </c>
      <c r="E269" s="5" t="s">
        <v>20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5" t="s">
        <v>58</v>
      </c>
      <c r="M269" s="5" t="s">
        <v>59</v>
      </c>
      <c r="N269" s="24">
        <f t="shared" si="4"/>
        <v>7.3202671439172376E-2</v>
      </c>
    </row>
    <row r="270" spans="1:14" ht="15.75" customHeight="1" x14ac:dyDescent="0.3">
      <c r="A270" s="5" t="s">
        <v>309</v>
      </c>
      <c r="B270" s="5" t="s">
        <v>31</v>
      </c>
      <c r="C270" s="7">
        <v>45464</v>
      </c>
      <c r="D270" s="5" t="s">
        <v>57</v>
      </c>
      <c r="E270" s="5" t="s">
        <v>32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5" t="s">
        <v>58</v>
      </c>
      <c r="M270" s="5" t="s">
        <v>59</v>
      </c>
      <c r="N270" s="24">
        <f t="shared" si="4"/>
        <v>9.2893873181347508E-2</v>
      </c>
    </row>
    <row r="271" spans="1:14" ht="15.75" customHeight="1" x14ac:dyDescent="0.3">
      <c r="A271" s="5" t="s">
        <v>310</v>
      </c>
      <c r="B271" s="5" t="s">
        <v>24</v>
      </c>
      <c r="C271" s="7">
        <v>45609</v>
      </c>
      <c r="D271" s="5" t="s">
        <v>25</v>
      </c>
      <c r="E271" s="5" t="s">
        <v>26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5" t="s">
        <v>39</v>
      </c>
      <c r="M271" s="5" t="s">
        <v>18</v>
      </c>
      <c r="N271" s="24">
        <f t="shared" si="4"/>
        <v>3.3603177027646251E-2</v>
      </c>
    </row>
    <row r="272" spans="1:14" ht="15.75" customHeight="1" x14ac:dyDescent="0.3">
      <c r="A272" s="5" t="s">
        <v>311</v>
      </c>
      <c r="B272" s="5" t="s">
        <v>24</v>
      </c>
      <c r="C272" s="7">
        <v>45693</v>
      </c>
      <c r="D272" s="5" t="s">
        <v>25</v>
      </c>
      <c r="E272" s="5" t="s">
        <v>16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5" t="s">
        <v>39</v>
      </c>
      <c r="M272" s="5" t="s">
        <v>18</v>
      </c>
      <c r="N272" s="24">
        <f t="shared" si="4"/>
        <v>0.14843585975225698</v>
      </c>
    </row>
    <row r="273" spans="1:14" ht="15.75" customHeight="1" x14ac:dyDescent="0.3">
      <c r="A273" s="5" t="s">
        <v>312</v>
      </c>
      <c r="B273" s="5" t="s">
        <v>24</v>
      </c>
      <c r="C273" s="7">
        <v>45603</v>
      </c>
      <c r="D273" s="5" t="s">
        <v>15</v>
      </c>
      <c r="E273" s="5" t="s">
        <v>20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5" t="s">
        <v>45</v>
      </c>
      <c r="M273" s="5" t="s">
        <v>22</v>
      </c>
      <c r="N273" s="24">
        <f t="shared" si="4"/>
        <v>5.1861351697967357E-2</v>
      </c>
    </row>
    <row r="274" spans="1:14" ht="15.75" customHeight="1" x14ac:dyDescent="0.3">
      <c r="A274" s="5" t="s">
        <v>313</v>
      </c>
      <c r="B274" s="5" t="s">
        <v>24</v>
      </c>
      <c r="C274" s="7">
        <v>45334</v>
      </c>
      <c r="D274" s="5" t="s">
        <v>15</v>
      </c>
      <c r="E274" s="5" t="s">
        <v>20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5" t="s">
        <v>42</v>
      </c>
      <c r="M274" s="5" t="s">
        <v>18</v>
      </c>
      <c r="N274" s="24">
        <f t="shared" si="4"/>
        <v>6.6160796354604659E-2</v>
      </c>
    </row>
    <row r="275" spans="1:14" ht="15.75" customHeight="1" x14ac:dyDescent="0.3">
      <c r="A275" s="5" t="s">
        <v>314</v>
      </c>
      <c r="B275" s="5" t="s">
        <v>14</v>
      </c>
      <c r="C275" s="7">
        <v>45573</v>
      </c>
      <c r="D275" s="5" t="s">
        <v>15</v>
      </c>
      <c r="E275" s="5" t="s">
        <v>20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5" t="s">
        <v>21</v>
      </c>
      <c r="M275" s="5" t="s">
        <v>22</v>
      </c>
      <c r="N275" s="24">
        <f t="shared" si="4"/>
        <v>5.4638246772740921E-2</v>
      </c>
    </row>
    <row r="276" spans="1:14" ht="15.75" customHeight="1" x14ac:dyDescent="0.3">
      <c r="A276" s="5" t="s">
        <v>315</v>
      </c>
      <c r="B276" s="5" t="s">
        <v>14</v>
      </c>
      <c r="C276" s="7">
        <v>45341</v>
      </c>
      <c r="D276" s="5" t="s">
        <v>15</v>
      </c>
      <c r="E276" s="5" t="s">
        <v>29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5" t="s">
        <v>21</v>
      </c>
      <c r="M276" s="5" t="s">
        <v>22</v>
      </c>
      <c r="N276" s="24">
        <f t="shared" si="4"/>
        <v>9.4139757389372969E-2</v>
      </c>
    </row>
    <row r="277" spans="1:14" ht="15.75" customHeight="1" x14ac:dyDescent="0.3">
      <c r="A277" s="5" t="s">
        <v>316</v>
      </c>
      <c r="B277" s="5" t="s">
        <v>24</v>
      </c>
      <c r="C277" s="7">
        <v>45720</v>
      </c>
      <c r="D277" s="5" t="s">
        <v>15</v>
      </c>
      <c r="E277" s="5" t="s">
        <v>16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5" t="s">
        <v>42</v>
      </c>
      <c r="M277" s="5" t="s">
        <v>18</v>
      </c>
      <c r="N277" s="24">
        <f t="shared" si="4"/>
        <v>5.7682545054573146E-2</v>
      </c>
    </row>
    <row r="278" spans="1:14" ht="15.75" customHeight="1" x14ac:dyDescent="0.3">
      <c r="A278" s="5" t="s">
        <v>317</v>
      </c>
      <c r="B278" s="5" t="s">
        <v>14</v>
      </c>
      <c r="C278" s="7">
        <v>45691</v>
      </c>
      <c r="D278" s="5" t="s">
        <v>25</v>
      </c>
      <c r="E278" s="5" t="s">
        <v>26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5" t="s">
        <v>42</v>
      </c>
      <c r="M278" s="5" t="s">
        <v>55</v>
      </c>
      <c r="N278" s="24">
        <f t="shared" si="4"/>
        <v>8.3972409065592737E-2</v>
      </c>
    </row>
    <row r="279" spans="1:14" ht="15.75" customHeight="1" x14ac:dyDescent="0.3">
      <c r="A279" s="5" t="s">
        <v>318</v>
      </c>
      <c r="B279" s="5" t="s">
        <v>14</v>
      </c>
      <c r="C279" s="7">
        <v>45628</v>
      </c>
      <c r="D279" s="5" t="s">
        <v>15</v>
      </c>
      <c r="E279" s="5" t="s">
        <v>41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5" t="s">
        <v>17</v>
      </c>
      <c r="M279" s="5" t="s">
        <v>18</v>
      </c>
      <c r="N279" s="24">
        <f t="shared" si="4"/>
        <v>6.6186514342481059E-2</v>
      </c>
    </row>
    <row r="280" spans="1:14" ht="15.75" customHeight="1" x14ac:dyDescent="0.3">
      <c r="A280" s="5" t="s">
        <v>319</v>
      </c>
      <c r="B280" s="5" t="s">
        <v>24</v>
      </c>
      <c r="C280" s="7">
        <v>45676</v>
      </c>
      <c r="D280" s="5" t="s">
        <v>25</v>
      </c>
      <c r="E280" s="5" t="s">
        <v>26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5" t="s">
        <v>17</v>
      </c>
      <c r="M280" s="5" t="s">
        <v>18</v>
      </c>
      <c r="N280" s="24">
        <f t="shared" si="4"/>
        <v>0.20445859872611466</v>
      </c>
    </row>
    <row r="281" spans="1:14" ht="15.75" customHeight="1" x14ac:dyDescent="0.3">
      <c r="A281" s="5" t="s">
        <v>320</v>
      </c>
      <c r="B281" s="5" t="s">
        <v>24</v>
      </c>
      <c r="C281" s="7">
        <v>45563</v>
      </c>
      <c r="D281" s="5" t="s">
        <v>25</v>
      </c>
      <c r="E281" s="5" t="s">
        <v>29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5" t="s">
        <v>39</v>
      </c>
      <c r="M281" s="5" t="s">
        <v>18</v>
      </c>
      <c r="N281" s="24">
        <f t="shared" si="4"/>
        <v>0.1122776514644911</v>
      </c>
    </row>
    <row r="282" spans="1:14" ht="15.75" customHeight="1" x14ac:dyDescent="0.3">
      <c r="A282" s="5" t="s">
        <v>321</v>
      </c>
      <c r="B282" s="5" t="s">
        <v>14</v>
      </c>
      <c r="C282" s="7">
        <v>45298</v>
      </c>
      <c r="D282" s="5" t="s">
        <v>15</v>
      </c>
      <c r="E282" s="5" t="s">
        <v>41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5" t="s">
        <v>17</v>
      </c>
      <c r="M282" s="5" t="s">
        <v>18</v>
      </c>
      <c r="N282" s="24">
        <f t="shared" si="4"/>
        <v>9.8640235621946709E-2</v>
      </c>
    </row>
    <row r="283" spans="1:14" ht="15.75" customHeight="1" x14ac:dyDescent="0.3">
      <c r="A283" s="5" t="s">
        <v>322</v>
      </c>
      <c r="B283" s="5" t="s">
        <v>24</v>
      </c>
      <c r="C283" s="7">
        <v>45343</v>
      </c>
      <c r="D283" s="5" t="s">
        <v>25</v>
      </c>
      <c r="E283" s="5" t="s">
        <v>37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5" t="s">
        <v>27</v>
      </c>
      <c r="M283" s="5" t="s">
        <v>18</v>
      </c>
      <c r="N283" s="24">
        <f t="shared" si="4"/>
        <v>5.4576862557296296E-2</v>
      </c>
    </row>
    <row r="284" spans="1:14" ht="15.75" customHeight="1" x14ac:dyDescent="0.3">
      <c r="A284" s="5" t="s">
        <v>323</v>
      </c>
      <c r="B284" s="5" t="s">
        <v>14</v>
      </c>
      <c r="C284" s="7">
        <v>45531</v>
      </c>
      <c r="D284" s="5" t="s">
        <v>15</v>
      </c>
      <c r="E284" s="5" t="s">
        <v>32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5" t="s">
        <v>21</v>
      </c>
      <c r="M284" s="5" t="s">
        <v>22</v>
      </c>
      <c r="N284" s="24">
        <f t="shared" si="4"/>
        <v>8.628318584070796E-2</v>
      </c>
    </row>
    <row r="285" spans="1:14" ht="15.75" customHeight="1" x14ac:dyDescent="0.3">
      <c r="A285" s="5" t="s">
        <v>324</v>
      </c>
      <c r="B285" s="5" t="s">
        <v>14</v>
      </c>
      <c r="C285" s="7">
        <v>45589</v>
      </c>
      <c r="D285" s="5" t="s">
        <v>25</v>
      </c>
      <c r="E285" s="5" t="s">
        <v>41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5" t="s">
        <v>42</v>
      </c>
      <c r="M285" s="5" t="s">
        <v>55</v>
      </c>
      <c r="N285" s="24">
        <f t="shared" si="4"/>
        <v>8.4056399132321047E-2</v>
      </c>
    </row>
    <row r="286" spans="1:14" ht="15.75" customHeight="1" x14ac:dyDescent="0.3">
      <c r="A286" s="5" t="s">
        <v>325</v>
      </c>
      <c r="B286" s="5" t="s">
        <v>31</v>
      </c>
      <c r="C286" s="7">
        <v>45686</v>
      </c>
      <c r="D286" s="5" t="s">
        <v>15</v>
      </c>
      <c r="E286" s="5" t="s">
        <v>26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5" t="s">
        <v>33</v>
      </c>
      <c r="M286" s="5" t="s">
        <v>22</v>
      </c>
      <c r="N286" s="24">
        <f t="shared" si="4"/>
        <v>3.4229485151994379E-2</v>
      </c>
    </row>
    <row r="287" spans="1:14" ht="15.75" customHeight="1" x14ac:dyDescent="0.3">
      <c r="A287" s="5" t="s">
        <v>326</v>
      </c>
      <c r="B287" s="5" t="s">
        <v>14</v>
      </c>
      <c r="C287" s="7">
        <v>45413</v>
      </c>
      <c r="D287" s="5" t="s">
        <v>15</v>
      </c>
      <c r="E287" s="5" t="s">
        <v>37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5" t="s">
        <v>21</v>
      </c>
      <c r="M287" s="5" t="s">
        <v>22</v>
      </c>
      <c r="N287" s="24">
        <f t="shared" si="4"/>
        <v>0.11467469950680724</v>
      </c>
    </row>
    <row r="288" spans="1:14" ht="15.75" customHeight="1" x14ac:dyDescent="0.3">
      <c r="A288" s="5" t="s">
        <v>327</v>
      </c>
      <c r="B288" s="5" t="s">
        <v>31</v>
      </c>
      <c r="C288" s="7">
        <v>45468</v>
      </c>
      <c r="D288" s="5" t="s">
        <v>15</v>
      </c>
      <c r="E288" s="5" t="s">
        <v>51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5" t="s">
        <v>33</v>
      </c>
      <c r="M288" s="5" t="s">
        <v>22</v>
      </c>
      <c r="N288" s="24">
        <f t="shared" si="4"/>
        <v>8.4548582664263475E-2</v>
      </c>
    </row>
    <row r="289" spans="1:14" ht="15.75" customHeight="1" x14ac:dyDescent="0.3">
      <c r="A289" s="5" t="s">
        <v>328</v>
      </c>
      <c r="B289" s="5" t="s">
        <v>24</v>
      </c>
      <c r="C289" s="7">
        <v>45513</v>
      </c>
      <c r="D289" s="5" t="s">
        <v>25</v>
      </c>
      <c r="E289" s="5" t="s">
        <v>49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5" t="s">
        <v>39</v>
      </c>
      <c r="M289" s="5" t="s">
        <v>18</v>
      </c>
      <c r="N289" s="24">
        <f t="shared" si="4"/>
        <v>0.10546200140489435</v>
      </c>
    </row>
    <row r="290" spans="1:14" ht="15.75" customHeight="1" x14ac:dyDescent="0.3">
      <c r="A290" s="5" t="s">
        <v>329</v>
      </c>
      <c r="B290" s="5" t="s">
        <v>14</v>
      </c>
      <c r="C290" s="7">
        <v>45678</v>
      </c>
      <c r="D290" s="5" t="s">
        <v>25</v>
      </c>
      <c r="E290" s="5" t="s">
        <v>26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5" t="s">
        <v>42</v>
      </c>
      <c r="M290" s="5" t="s">
        <v>55</v>
      </c>
      <c r="N290" s="24">
        <f t="shared" si="4"/>
        <v>0.10338095327488783</v>
      </c>
    </row>
    <row r="291" spans="1:14" ht="15.75" customHeight="1" x14ac:dyDescent="0.3">
      <c r="A291" s="5" t="s">
        <v>330</v>
      </c>
      <c r="B291" s="5" t="s">
        <v>24</v>
      </c>
      <c r="C291" s="7">
        <v>45517</v>
      </c>
      <c r="D291" s="5" t="s">
        <v>15</v>
      </c>
      <c r="E291" s="5" t="s">
        <v>20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5" t="s">
        <v>45</v>
      </c>
      <c r="M291" s="5" t="s">
        <v>22</v>
      </c>
      <c r="N291" s="24">
        <f t="shared" si="4"/>
        <v>0.1565595352530614</v>
      </c>
    </row>
    <row r="292" spans="1:14" ht="15.75" customHeight="1" x14ac:dyDescent="0.3">
      <c r="A292" s="5" t="s">
        <v>331</v>
      </c>
      <c r="B292" s="5" t="s">
        <v>14</v>
      </c>
      <c r="C292" s="7">
        <v>45472</v>
      </c>
      <c r="D292" s="5" t="s">
        <v>15</v>
      </c>
      <c r="E292" s="5" t="s">
        <v>51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5" t="s">
        <v>17</v>
      </c>
      <c r="M292" s="5" t="s">
        <v>18</v>
      </c>
      <c r="N292" s="24">
        <f t="shared" si="4"/>
        <v>5.8052595393606049E-2</v>
      </c>
    </row>
    <row r="293" spans="1:14" ht="15.75" customHeight="1" x14ac:dyDescent="0.3">
      <c r="A293" s="5" t="s">
        <v>332</v>
      </c>
      <c r="B293" s="5" t="s">
        <v>24</v>
      </c>
      <c r="C293" s="7">
        <v>45599</v>
      </c>
      <c r="D293" s="5" t="s">
        <v>25</v>
      </c>
      <c r="E293" s="5" t="s">
        <v>20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5" t="s">
        <v>27</v>
      </c>
      <c r="M293" s="5" t="s">
        <v>18</v>
      </c>
      <c r="N293" s="24">
        <f t="shared" si="4"/>
        <v>0.12976726726726726</v>
      </c>
    </row>
    <row r="294" spans="1:14" ht="15.75" customHeight="1" x14ac:dyDescent="0.3">
      <c r="A294" s="5" t="s">
        <v>333</v>
      </c>
      <c r="B294" s="5" t="s">
        <v>31</v>
      </c>
      <c r="C294" s="7">
        <v>45765</v>
      </c>
      <c r="D294" s="5" t="s">
        <v>57</v>
      </c>
      <c r="E294" s="5" t="s">
        <v>51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5" t="s">
        <v>58</v>
      </c>
      <c r="M294" s="5" t="s">
        <v>59</v>
      </c>
      <c r="N294" s="24">
        <f t="shared" si="4"/>
        <v>4.4999031758326875E-2</v>
      </c>
    </row>
    <row r="295" spans="1:14" ht="15.75" customHeight="1" x14ac:dyDescent="0.3">
      <c r="A295" s="5" t="s">
        <v>334</v>
      </c>
      <c r="B295" s="5" t="s">
        <v>14</v>
      </c>
      <c r="C295" s="7">
        <v>45653</v>
      </c>
      <c r="D295" s="5" t="s">
        <v>15</v>
      </c>
      <c r="E295" s="5" t="s">
        <v>49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5" t="s">
        <v>21</v>
      </c>
      <c r="M295" s="5" t="s">
        <v>22</v>
      </c>
      <c r="N295" s="24">
        <f t="shared" si="4"/>
        <v>3.221173574066475E-2</v>
      </c>
    </row>
    <row r="296" spans="1:14" ht="15.75" customHeight="1" x14ac:dyDescent="0.3">
      <c r="A296" s="5" t="s">
        <v>335</v>
      </c>
      <c r="B296" s="5" t="s">
        <v>14</v>
      </c>
      <c r="C296" s="7">
        <v>45724</v>
      </c>
      <c r="D296" s="5" t="s">
        <v>25</v>
      </c>
      <c r="E296" s="5" t="s">
        <v>41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5" t="s">
        <v>42</v>
      </c>
      <c r="M296" s="5" t="s">
        <v>55</v>
      </c>
      <c r="N296" s="24">
        <f t="shared" si="4"/>
        <v>0.1109777812185492</v>
      </c>
    </row>
    <row r="297" spans="1:14" ht="15.75" customHeight="1" x14ac:dyDescent="0.3">
      <c r="A297" s="5" t="s">
        <v>336</v>
      </c>
      <c r="B297" s="5" t="s">
        <v>24</v>
      </c>
      <c r="C297" s="7">
        <v>45736</v>
      </c>
      <c r="D297" s="5" t="s">
        <v>25</v>
      </c>
      <c r="E297" s="5" t="s">
        <v>51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5" t="s">
        <v>27</v>
      </c>
      <c r="M297" s="5" t="s">
        <v>18</v>
      </c>
      <c r="N297" s="24">
        <f t="shared" si="4"/>
        <v>0.1191007493755204</v>
      </c>
    </row>
    <row r="298" spans="1:14" ht="15.75" customHeight="1" x14ac:dyDescent="0.3">
      <c r="A298" s="5" t="s">
        <v>337</v>
      </c>
      <c r="B298" s="5" t="s">
        <v>24</v>
      </c>
      <c r="C298" s="7">
        <v>45612</v>
      </c>
      <c r="D298" s="5" t="s">
        <v>15</v>
      </c>
      <c r="E298" s="5" t="s">
        <v>20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5" t="s">
        <v>45</v>
      </c>
      <c r="M298" s="5" t="s">
        <v>22</v>
      </c>
      <c r="N298" s="24">
        <f t="shared" si="4"/>
        <v>5.9775576027966085E-2</v>
      </c>
    </row>
    <row r="299" spans="1:14" ht="15.75" customHeight="1" x14ac:dyDescent="0.3">
      <c r="A299" s="5" t="s">
        <v>338</v>
      </c>
      <c r="B299" s="5" t="s">
        <v>24</v>
      </c>
      <c r="C299" s="7">
        <v>45838</v>
      </c>
      <c r="D299" s="5" t="s">
        <v>15</v>
      </c>
      <c r="E299" s="5" t="s">
        <v>35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5" t="s">
        <v>42</v>
      </c>
      <c r="M299" s="5" t="s">
        <v>18</v>
      </c>
      <c r="N299" s="24">
        <f t="shared" si="4"/>
        <v>6.1064362065044349E-2</v>
      </c>
    </row>
    <row r="300" spans="1:14" ht="15.75" customHeight="1" x14ac:dyDescent="0.3">
      <c r="A300" s="5" t="s">
        <v>339</v>
      </c>
      <c r="B300" s="5" t="s">
        <v>24</v>
      </c>
      <c r="C300" s="7">
        <v>45303</v>
      </c>
      <c r="D300" s="5" t="s">
        <v>25</v>
      </c>
      <c r="E300" s="5" t="s">
        <v>29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5" t="s">
        <v>39</v>
      </c>
      <c r="M300" s="5" t="s">
        <v>18</v>
      </c>
      <c r="N300" s="24">
        <f t="shared" si="4"/>
        <v>5.5797564422760453E-2</v>
      </c>
    </row>
    <row r="301" spans="1:14" ht="15.75" customHeight="1" x14ac:dyDescent="0.3">
      <c r="A301" s="5" t="s">
        <v>340</v>
      </c>
      <c r="B301" s="5" t="s">
        <v>14</v>
      </c>
      <c r="C301" s="7">
        <v>45329</v>
      </c>
      <c r="D301" s="5" t="s">
        <v>15</v>
      </c>
      <c r="E301" s="5" t="s">
        <v>32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5" t="s">
        <v>17</v>
      </c>
      <c r="M301" s="5" t="s">
        <v>18</v>
      </c>
      <c r="N301" s="24">
        <f t="shared" si="4"/>
        <v>9.4300914496331587E-2</v>
      </c>
    </row>
    <row r="302" spans="1:14" ht="15.75" customHeight="1" x14ac:dyDescent="0.3"/>
    <row r="303" spans="1:14" ht="15.75" customHeight="1" x14ac:dyDescent="0.3"/>
    <row r="304" spans="1:1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7" sqref="E7"/>
    </sheetView>
  </sheetViews>
  <sheetFormatPr defaultColWidth="14.44140625" defaultRowHeight="15" customHeight="1" x14ac:dyDescent="0.3"/>
  <cols>
    <col min="1" max="1" width="15.77734375" style="8" bestFit="1" customWidth="1"/>
    <col min="2" max="2" width="9.109375" style="6" bestFit="1" customWidth="1"/>
    <col min="3" max="3" width="13.77734375" style="10" bestFit="1" customWidth="1"/>
    <col min="4" max="4" width="9.44140625" style="10" bestFit="1" customWidth="1"/>
    <col min="5" max="5" width="14.21875" style="10" bestFit="1" customWidth="1"/>
    <col min="6" max="6" width="16.44140625" style="4" bestFit="1" customWidth="1"/>
    <col min="7" max="7" width="9.6640625" style="10" bestFit="1" customWidth="1"/>
    <col min="8" max="26" width="8.6640625" customWidth="1"/>
  </cols>
  <sheetData>
    <row r="1" spans="1:7" ht="14.4" x14ac:dyDescent="0.3">
      <c r="A1" s="11" t="s">
        <v>341</v>
      </c>
      <c r="B1" s="12" t="s">
        <v>1</v>
      </c>
      <c r="C1" s="13" t="s">
        <v>342</v>
      </c>
      <c r="D1" s="13" t="s">
        <v>343</v>
      </c>
      <c r="E1" s="13" t="s">
        <v>344</v>
      </c>
      <c r="F1" s="14" t="s">
        <v>345</v>
      </c>
      <c r="G1" s="13" t="s">
        <v>346</v>
      </c>
    </row>
    <row r="2" spans="1:7" ht="14.4" x14ac:dyDescent="0.3">
      <c r="A2" s="7">
        <v>45446</v>
      </c>
      <c r="B2" s="5" t="s">
        <v>14</v>
      </c>
      <c r="C2" s="9">
        <v>1402</v>
      </c>
      <c r="D2" s="9">
        <v>68</v>
      </c>
      <c r="E2" s="9">
        <v>124562</v>
      </c>
      <c r="F2" s="3">
        <v>9.92</v>
      </c>
      <c r="G2" s="9">
        <v>23125</v>
      </c>
    </row>
    <row r="3" spans="1:7" ht="14.4" x14ac:dyDescent="0.3">
      <c r="A3" s="7">
        <v>45446</v>
      </c>
      <c r="B3" s="5" t="s">
        <v>24</v>
      </c>
      <c r="C3" s="9">
        <v>995</v>
      </c>
      <c r="D3" s="9">
        <v>86</v>
      </c>
      <c r="E3" s="9">
        <v>227958</v>
      </c>
      <c r="F3" s="3">
        <v>8.0500000000000007</v>
      </c>
      <c r="G3" s="9">
        <v>22788</v>
      </c>
    </row>
    <row r="4" spans="1:7" ht="14.4" x14ac:dyDescent="0.3">
      <c r="A4" s="7">
        <v>45446</v>
      </c>
      <c r="B4" s="5" t="s">
        <v>31</v>
      </c>
      <c r="C4" s="9">
        <v>1472</v>
      </c>
      <c r="D4" s="9">
        <v>296</v>
      </c>
      <c r="E4" s="9">
        <v>370242</v>
      </c>
      <c r="F4" s="3">
        <v>7.72</v>
      </c>
      <c r="G4" s="9">
        <v>7810</v>
      </c>
    </row>
    <row r="5" spans="1:7" ht="14.4" x14ac:dyDescent="0.3">
      <c r="A5" s="7">
        <v>45453</v>
      </c>
      <c r="B5" s="5" t="s">
        <v>14</v>
      </c>
      <c r="C5" s="9">
        <v>1018</v>
      </c>
      <c r="D5" s="9">
        <v>90</v>
      </c>
      <c r="E5" s="9">
        <v>92474</v>
      </c>
      <c r="F5" s="3">
        <v>9.4</v>
      </c>
      <c r="G5" s="9">
        <v>11966</v>
      </c>
    </row>
    <row r="6" spans="1:7" ht="14.4" x14ac:dyDescent="0.3">
      <c r="A6" s="7">
        <v>45453</v>
      </c>
      <c r="B6" s="5" t="s">
        <v>24</v>
      </c>
      <c r="C6" s="9">
        <v>1461</v>
      </c>
      <c r="D6" s="9">
        <v>64</v>
      </c>
      <c r="E6" s="9">
        <v>328902</v>
      </c>
      <c r="F6" s="3">
        <v>9.02</v>
      </c>
      <c r="G6" s="9">
        <v>26298</v>
      </c>
    </row>
    <row r="7" spans="1:7" ht="14.4" x14ac:dyDescent="0.3">
      <c r="A7" s="7">
        <v>45453</v>
      </c>
      <c r="B7" s="5" t="s">
        <v>31</v>
      </c>
      <c r="C7" s="9">
        <v>545</v>
      </c>
      <c r="D7" s="9">
        <v>93</v>
      </c>
      <c r="E7" s="9">
        <v>391621</v>
      </c>
      <c r="F7" s="3">
        <v>9.9600000000000009</v>
      </c>
      <c r="G7" s="9">
        <v>22029</v>
      </c>
    </row>
    <row r="8" spans="1:7" ht="14.4" x14ac:dyDescent="0.3">
      <c r="A8" s="7">
        <v>45460</v>
      </c>
      <c r="B8" s="5" t="s">
        <v>14</v>
      </c>
      <c r="C8" s="9">
        <v>881</v>
      </c>
      <c r="D8" s="9">
        <v>291</v>
      </c>
      <c r="E8" s="9">
        <v>95885</v>
      </c>
      <c r="F8" s="3">
        <v>5.29</v>
      </c>
      <c r="G8" s="9">
        <v>12391</v>
      </c>
    </row>
    <row r="9" spans="1:7" ht="14.4" x14ac:dyDescent="0.3">
      <c r="A9" s="7">
        <v>45460</v>
      </c>
      <c r="B9" s="5" t="s">
        <v>24</v>
      </c>
      <c r="C9" s="9">
        <v>1414</v>
      </c>
      <c r="D9" s="9">
        <v>131</v>
      </c>
      <c r="E9" s="9">
        <v>245947</v>
      </c>
      <c r="F9" s="3">
        <v>8.3000000000000007</v>
      </c>
      <c r="G9" s="9">
        <v>14477</v>
      </c>
    </row>
    <row r="10" spans="1:7" ht="14.4" x14ac:dyDescent="0.3">
      <c r="A10" s="7">
        <v>45460</v>
      </c>
      <c r="B10" s="5" t="s">
        <v>31</v>
      </c>
      <c r="C10" s="9">
        <v>1472</v>
      </c>
      <c r="D10" s="9">
        <v>170</v>
      </c>
      <c r="E10" s="9">
        <v>250428</v>
      </c>
      <c r="F10" s="3">
        <v>4.66</v>
      </c>
      <c r="G10" s="9">
        <v>25040</v>
      </c>
    </row>
    <row r="11" spans="1:7" ht="14.4" x14ac:dyDescent="0.3">
      <c r="A11" s="7">
        <v>45467</v>
      </c>
      <c r="B11" s="5" t="s">
        <v>14</v>
      </c>
      <c r="C11" s="9">
        <v>809</v>
      </c>
      <c r="D11" s="9">
        <v>197</v>
      </c>
      <c r="E11" s="9">
        <v>87186</v>
      </c>
      <c r="F11" s="3">
        <v>9.48</v>
      </c>
      <c r="G11" s="9">
        <v>22619</v>
      </c>
    </row>
    <row r="12" spans="1:7" ht="14.4" x14ac:dyDescent="0.3">
      <c r="A12" s="7">
        <v>45467</v>
      </c>
      <c r="B12" s="5" t="s">
        <v>24</v>
      </c>
      <c r="C12" s="9">
        <v>1371</v>
      </c>
      <c r="D12" s="9">
        <v>250</v>
      </c>
      <c r="E12" s="9">
        <v>128620</v>
      </c>
      <c r="F12" s="3">
        <v>7.11</v>
      </c>
      <c r="G12" s="9">
        <v>12399</v>
      </c>
    </row>
    <row r="13" spans="1:7" ht="14.4" x14ac:dyDescent="0.3">
      <c r="A13" s="7">
        <v>45467</v>
      </c>
      <c r="B13" s="5" t="s">
        <v>31</v>
      </c>
      <c r="C13" s="9">
        <v>844</v>
      </c>
      <c r="D13" s="9">
        <v>144</v>
      </c>
      <c r="E13" s="9">
        <v>126015</v>
      </c>
      <c r="F13" s="3">
        <v>9.65</v>
      </c>
      <c r="G13" s="9">
        <v>22456</v>
      </c>
    </row>
    <row r="14" spans="1:7" ht="14.4" x14ac:dyDescent="0.3">
      <c r="A14" s="7">
        <v>45474</v>
      </c>
      <c r="B14" s="5" t="s">
        <v>14</v>
      </c>
      <c r="C14" s="9">
        <v>786</v>
      </c>
      <c r="D14" s="9">
        <v>72</v>
      </c>
      <c r="E14" s="9">
        <v>178615</v>
      </c>
      <c r="F14" s="3">
        <v>5.43</v>
      </c>
      <c r="G14" s="9">
        <v>19328</v>
      </c>
    </row>
    <row r="15" spans="1:7" ht="14.4" x14ac:dyDescent="0.3">
      <c r="A15" s="7">
        <v>45474</v>
      </c>
      <c r="B15" s="5" t="s">
        <v>24</v>
      </c>
      <c r="C15" s="9">
        <v>845</v>
      </c>
      <c r="D15" s="9">
        <v>250</v>
      </c>
      <c r="E15" s="9">
        <v>218228</v>
      </c>
      <c r="F15" s="3">
        <v>4.5199999999999996</v>
      </c>
      <c r="G15" s="9">
        <v>21107</v>
      </c>
    </row>
    <row r="16" spans="1:7" ht="14.4" x14ac:dyDescent="0.3">
      <c r="A16" s="7">
        <v>45474</v>
      </c>
      <c r="B16" s="5" t="s">
        <v>31</v>
      </c>
      <c r="C16" s="9">
        <v>1218</v>
      </c>
      <c r="D16" s="9">
        <v>101</v>
      </c>
      <c r="E16" s="9">
        <v>300397</v>
      </c>
      <c r="F16" s="3">
        <v>4.33</v>
      </c>
      <c r="G16" s="9">
        <v>12277</v>
      </c>
    </row>
    <row r="17" spans="1:7" ht="14.4" x14ac:dyDescent="0.3">
      <c r="A17" s="7">
        <v>45481</v>
      </c>
      <c r="B17" s="5" t="s">
        <v>14</v>
      </c>
      <c r="C17" s="9">
        <v>797</v>
      </c>
      <c r="D17" s="9">
        <v>130</v>
      </c>
      <c r="E17" s="9">
        <v>340121</v>
      </c>
      <c r="F17" s="3">
        <v>8.52</v>
      </c>
      <c r="G17" s="9">
        <v>11684</v>
      </c>
    </row>
    <row r="18" spans="1:7" ht="14.4" x14ac:dyDescent="0.3">
      <c r="A18" s="7">
        <v>45481</v>
      </c>
      <c r="B18" s="5" t="s">
        <v>24</v>
      </c>
      <c r="C18" s="9">
        <v>1471</v>
      </c>
      <c r="D18" s="9">
        <v>100</v>
      </c>
      <c r="E18" s="9">
        <v>76866</v>
      </c>
      <c r="F18" s="3">
        <v>8.5500000000000007</v>
      </c>
      <c r="G18" s="9">
        <v>14412</v>
      </c>
    </row>
    <row r="19" spans="1:7" ht="14.4" x14ac:dyDescent="0.3">
      <c r="A19" s="7">
        <v>45481</v>
      </c>
      <c r="B19" s="5" t="s">
        <v>31</v>
      </c>
      <c r="C19" s="9">
        <v>1253</v>
      </c>
      <c r="D19" s="9">
        <v>136</v>
      </c>
      <c r="E19" s="9">
        <v>193131</v>
      </c>
      <c r="F19" s="3">
        <v>7.99</v>
      </c>
      <c r="G19" s="9">
        <v>15924</v>
      </c>
    </row>
    <row r="20" spans="1:7" ht="14.4" x14ac:dyDescent="0.3">
      <c r="A20" s="7">
        <v>45488</v>
      </c>
      <c r="B20" s="5" t="s">
        <v>14</v>
      </c>
      <c r="C20" s="9">
        <v>616</v>
      </c>
      <c r="D20" s="9">
        <v>257</v>
      </c>
      <c r="E20" s="9">
        <v>169665</v>
      </c>
      <c r="F20" s="3">
        <v>6.31</v>
      </c>
      <c r="G20" s="9">
        <v>12390</v>
      </c>
    </row>
    <row r="21" spans="1:7" ht="15.75" customHeight="1" x14ac:dyDescent="0.3">
      <c r="A21" s="7">
        <v>45488</v>
      </c>
      <c r="B21" s="5" t="s">
        <v>24</v>
      </c>
      <c r="C21" s="9">
        <v>1308</v>
      </c>
      <c r="D21" s="9">
        <v>210</v>
      </c>
      <c r="E21" s="9">
        <v>263729</v>
      </c>
      <c r="F21" s="3">
        <v>8.5299999999999994</v>
      </c>
      <c r="G21" s="9">
        <v>25742</v>
      </c>
    </row>
    <row r="22" spans="1:7" ht="15.75" customHeight="1" x14ac:dyDescent="0.3">
      <c r="A22" s="7">
        <v>45488</v>
      </c>
      <c r="B22" s="5" t="s">
        <v>31</v>
      </c>
      <c r="C22" s="9">
        <v>981</v>
      </c>
      <c r="D22" s="9">
        <v>69</v>
      </c>
      <c r="E22" s="9">
        <v>206921</v>
      </c>
      <c r="F22" s="3">
        <v>8.42</v>
      </c>
      <c r="G22" s="9">
        <v>10495</v>
      </c>
    </row>
    <row r="23" spans="1:7" ht="15.75" customHeight="1" x14ac:dyDescent="0.3">
      <c r="A23" s="7">
        <v>45495</v>
      </c>
      <c r="B23" s="5" t="s">
        <v>14</v>
      </c>
      <c r="C23" s="9">
        <v>866</v>
      </c>
      <c r="D23" s="9">
        <v>74</v>
      </c>
      <c r="E23" s="9">
        <v>204121</v>
      </c>
      <c r="F23" s="3">
        <v>9.34</v>
      </c>
      <c r="G23" s="9">
        <v>7797</v>
      </c>
    </row>
    <row r="24" spans="1:7" ht="15.75" customHeight="1" x14ac:dyDescent="0.3">
      <c r="A24" s="7">
        <v>45495</v>
      </c>
      <c r="B24" s="5" t="s">
        <v>24</v>
      </c>
      <c r="C24" s="9">
        <v>547</v>
      </c>
      <c r="D24" s="9">
        <v>183</v>
      </c>
      <c r="E24" s="9">
        <v>266350</v>
      </c>
      <c r="F24" s="3">
        <v>5.65</v>
      </c>
      <c r="G24" s="9">
        <v>15595</v>
      </c>
    </row>
    <row r="25" spans="1:7" ht="15.75" customHeight="1" x14ac:dyDescent="0.3">
      <c r="A25" s="7">
        <v>45495</v>
      </c>
      <c r="B25" s="5" t="s">
        <v>31</v>
      </c>
      <c r="C25" s="9">
        <v>1241</v>
      </c>
      <c r="D25" s="9">
        <v>116</v>
      </c>
      <c r="E25" s="9">
        <v>380606</v>
      </c>
      <c r="F25" s="3">
        <v>4.2</v>
      </c>
      <c r="G25" s="9">
        <v>24617</v>
      </c>
    </row>
    <row r="26" spans="1:7" ht="15.75" customHeight="1" x14ac:dyDescent="0.3">
      <c r="A26" s="7">
        <v>45502</v>
      </c>
      <c r="B26" s="5" t="s">
        <v>14</v>
      </c>
      <c r="C26" s="9">
        <v>973</v>
      </c>
      <c r="D26" s="9">
        <v>104</v>
      </c>
      <c r="E26" s="9">
        <v>376358</v>
      </c>
      <c r="F26" s="3">
        <v>3.87</v>
      </c>
      <c r="G26" s="9">
        <v>9847</v>
      </c>
    </row>
    <row r="27" spans="1:7" ht="15.75" customHeight="1" x14ac:dyDescent="0.3">
      <c r="A27" s="7">
        <v>45502</v>
      </c>
      <c r="B27" s="5" t="s">
        <v>24</v>
      </c>
      <c r="C27" s="9">
        <v>611</v>
      </c>
      <c r="D27" s="9">
        <v>197</v>
      </c>
      <c r="E27" s="9">
        <v>79423</v>
      </c>
      <c r="F27" s="3">
        <v>5.82</v>
      </c>
      <c r="G27" s="9">
        <v>13644</v>
      </c>
    </row>
    <row r="28" spans="1:7" ht="15.75" customHeight="1" x14ac:dyDescent="0.3">
      <c r="A28" s="7">
        <v>45502</v>
      </c>
      <c r="B28" s="5" t="s">
        <v>31</v>
      </c>
      <c r="C28" s="9">
        <v>983</v>
      </c>
      <c r="D28" s="9">
        <v>134</v>
      </c>
      <c r="E28" s="9">
        <v>352178</v>
      </c>
      <c r="F28" s="3">
        <v>3.55</v>
      </c>
      <c r="G28" s="9">
        <v>11421</v>
      </c>
    </row>
    <row r="29" spans="1:7" ht="15.75" customHeight="1" x14ac:dyDescent="0.3">
      <c r="A29" s="7">
        <v>45509</v>
      </c>
      <c r="B29" s="5" t="s">
        <v>14</v>
      </c>
      <c r="C29" s="9">
        <v>1449</v>
      </c>
      <c r="D29" s="9">
        <v>96</v>
      </c>
      <c r="E29" s="9">
        <v>200636</v>
      </c>
      <c r="F29" s="3">
        <v>9.92</v>
      </c>
      <c r="G29" s="9">
        <v>15613</v>
      </c>
    </row>
    <row r="30" spans="1:7" ht="15.75" customHeight="1" x14ac:dyDescent="0.3">
      <c r="A30" s="7">
        <v>45509</v>
      </c>
      <c r="B30" s="5" t="s">
        <v>24</v>
      </c>
      <c r="C30" s="9">
        <v>752</v>
      </c>
      <c r="D30" s="9">
        <v>170</v>
      </c>
      <c r="E30" s="9">
        <v>132756</v>
      </c>
      <c r="F30" s="3">
        <v>8.17</v>
      </c>
      <c r="G30" s="9">
        <v>23900</v>
      </c>
    </row>
    <row r="31" spans="1:7" ht="15.75" customHeight="1" x14ac:dyDescent="0.3">
      <c r="A31" s="7">
        <v>45509</v>
      </c>
      <c r="B31" s="5" t="s">
        <v>31</v>
      </c>
      <c r="C31" s="9">
        <v>937</v>
      </c>
      <c r="D31" s="9">
        <v>179</v>
      </c>
      <c r="E31" s="9">
        <v>318098</v>
      </c>
      <c r="F31" s="3">
        <v>5.3</v>
      </c>
      <c r="G31" s="9">
        <v>5836</v>
      </c>
    </row>
    <row r="32" spans="1:7" ht="15.75" customHeight="1" x14ac:dyDescent="0.3">
      <c r="A32" s="7">
        <v>45516</v>
      </c>
      <c r="B32" s="5" t="s">
        <v>14</v>
      </c>
      <c r="C32" s="9">
        <v>1060</v>
      </c>
      <c r="D32" s="9">
        <v>83</v>
      </c>
      <c r="E32" s="9">
        <v>68724</v>
      </c>
      <c r="F32" s="3">
        <v>5.98</v>
      </c>
      <c r="G32" s="9">
        <v>5624</v>
      </c>
    </row>
    <row r="33" spans="1:7" ht="15.75" customHeight="1" x14ac:dyDescent="0.3">
      <c r="A33" s="7">
        <v>45516</v>
      </c>
      <c r="B33" s="5" t="s">
        <v>24</v>
      </c>
      <c r="C33" s="9">
        <v>1456</v>
      </c>
      <c r="D33" s="9">
        <v>265</v>
      </c>
      <c r="E33" s="9">
        <v>115505</v>
      </c>
      <c r="F33" s="3">
        <v>7.49</v>
      </c>
      <c r="G33" s="9">
        <v>10311</v>
      </c>
    </row>
    <row r="34" spans="1:7" ht="15.75" customHeight="1" x14ac:dyDescent="0.3">
      <c r="A34" s="7">
        <v>45516</v>
      </c>
      <c r="B34" s="5" t="s">
        <v>31</v>
      </c>
      <c r="C34" s="9">
        <v>1109</v>
      </c>
      <c r="D34" s="9">
        <v>205</v>
      </c>
      <c r="E34" s="9">
        <v>276722</v>
      </c>
      <c r="F34" s="3">
        <v>9.3800000000000008</v>
      </c>
      <c r="G34" s="9">
        <v>8274</v>
      </c>
    </row>
    <row r="35" spans="1:7" ht="15.75" customHeight="1" x14ac:dyDescent="0.3">
      <c r="A35" s="7">
        <v>45523</v>
      </c>
      <c r="B35" s="5" t="s">
        <v>14</v>
      </c>
      <c r="C35" s="9">
        <v>1002</v>
      </c>
      <c r="D35" s="9">
        <v>93</v>
      </c>
      <c r="E35" s="9">
        <v>353538</v>
      </c>
      <c r="F35" s="3">
        <v>5.84</v>
      </c>
      <c r="G35" s="9">
        <v>6031</v>
      </c>
    </row>
    <row r="36" spans="1:7" ht="15.75" customHeight="1" x14ac:dyDescent="0.3">
      <c r="A36" s="7">
        <v>45523</v>
      </c>
      <c r="B36" s="5" t="s">
        <v>24</v>
      </c>
      <c r="C36" s="9">
        <v>571</v>
      </c>
      <c r="D36" s="9">
        <v>189</v>
      </c>
      <c r="E36" s="9">
        <v>61445</v>
      </c>
      <c r="F36" s="3">
        <v>5.41</v>
      </c>
      <c r="G36" s="9">
        <v>27829</v>
      </c>
    </row>
    <row r="37" spans="1:7" ht="15.75" customHeight="1" x14ac:dyDescent="0.3">
      <c r="A37" s="7">
        <v>45523</v>
      </c>
      <c r="B37" s="5" t="s">
        <v>31</v>
      </c>
      <c r="C37" s="9">
        <v>1240</v>
      </c>
      <c r="D37" s="9">
        <v>231</v>
      </c>
      <c r="E37" s="9">
        <v>165035</v>
      </c>
      <c r="F37" s="3">
        <v>6.05</v>
      </c>
      <c r="G37" s="9">
        <v>18267</v>
      </c>
    </row>
    <row r="38" spans="1:7" ht="15.75" customHeight="1" x14ac:dyDescent="0.3">
      <c r="A38" s="7">
        <v>45530</v>
      </c>
      <c r="B38" s="5" t="s">
        <v>14</v>
      </c>
      <c r="C38" s="9">
        <v>1154</v>
      </c>
      <c r="D38" s="9">
        <v>132</v>
      </c>
      <c r="E38" s="9">
        <v>194595</v>
      </c>
      <c r="F38" s="3">
        <v>7.54</v>
      </c>
      <c r="G38" s="9">
        <v>26624</v>
      </c>
    </row>
    <row r="39" spans="1:7" ht="15.75" customHeight="1" x14ac:dyDescent="0.3">
      <c r="A39" s="7">
        <v>45530</v>
      </c>
      <c r="B39" s="5" t="s">
        <v>24</v>
      </c>
      <c r="C39" s="9">
        <v>537</v>
      </c>
      <c r="D39" s="9">
        <v>275</v>
      </c>
      <c r="E39" s="9">
        <v>236238</v>
      </c>
      <c r="F39" s="3">
        <v>5.87</v>
      </c>
      <c r="G39" s="9">
        <v>26644</v>
      </c>
    </row>
    <row r="40" spans="1:7" ht="15.75" customHeight="1" x14ac:dyDescent="0.3">
      <c r="A40" s="7">
        <v>45530</v>
      </c>
      <c r="B40" s="5" t="s">
        <v>31</v>
      </c>
      <c r="C40" s="9">
        <v>1456</v>
      </c>
      <c r="D40" s="9">
        <v>290</v>
      </c>
      <c r="E40" s="9">
        <v>271044</v>
      </c>
      <c r="F40" s="3">
        <v>7.17</v>
      </c>
      <c r="G40" s="9">
        <v>13051</v>
      </c>
    </row>
    <row r="41" spans="1:7" ht="15.75" customHeight="1" x14ac:dyDescent="0.3">
      <c r="A41" s="7">
        <v>45537</v>
      </c>
      <c r="B41" s="5" t="s">
        <v>14</v>
      </c>
      <c r="C41" s="9">
        <v>721</v>
      </c>
      <c r="D41" s="9">
        <v>206</v>
      </c>
      <c r="E41" s="9">
        <v>334887</v>
      </c>
      <c r="F41" s="3">
        <v>6.05</v>
      </c>
      <c r="G41" s="9">
        <v>14217</v>
      </c>
    </row>
    <row r="42" spans="1:7" ht="15.75" customHeight="1" x14ac:dyDescent="0.3">
      <c r="A42" s="7">
        <v>45537</v>
      </c>
      <c r="B42" s="5" t="s">
        <v>24</v>
      </c>
      <c r="C42" s="9">
        <v>1098</v>
      </c>
      <c r="D42" s="9">
        <v>142</v>
      </c>
      <c r="E42" s="9">
        <v>359150</v>
      </c>
      <c r="F42" s="3">
        <v>7.51</v>
      </c>
      <c r="G42" s="9">
        <v>16385</v>
      </c>
    </row>
    <row r="43" spans="1:7" ht="15.75" customHeight="1" x14ac:dyDescent="0.3">
      <c r="A43" s="7">
        <v>45537</v>
      </c>
      <c r="B43" s="5" t="s">
        <v>31</v>
      </c>
      <c r="C43" s="9">
        <v>1096</v>
      </c>
      <c r="D43" s="9">
        <v>65</v>
      </c>
      <c r="E43" s="9">
        <v>358295</v>
      </c>
      <c r="F43" s="3">
        <v>7.66</v>
      </c>
      <c r="G43" s="9">
        <v>24548</v>
      </c>
    </row>
    <row r="44" spans="1:7" ht="15.75" customHeight="1" x14ac:dyDescent="0.3">
      <c r="A44" s="7">
        <v>45544</v>
      </c>
      <c r="B44" s="5" t="s">
        <v>14</v>
      </c>
      <c r="C44" s="9">
        <v>912</v>
      </c>
      <c r="D44" s="9">
        <v>275</v>
      </c>
      <c r="E44" s="9">
        <v>368454</v>
      </c>
      <c r="F44" s="3">
        <v>6.03</v>
      </c>
      <c r="G44" s="9">
        <v>9195</v>
      </c>
    </row>
    <row r="45" spans="1:7" ht="15.75" customHeight="1" x14ac:dyDescent="0.3">
      <c r="A45" s="7">
        <v>45544</v>
      </c>
      <c r="B45" s="5" t="s">
        <v>24</v>
      </c>
      <c r="C45" s="9">
        <v>1430</v>
      </c>
      <c r="D45" s="9">
        <v>162</v>
      </c>
      <c r="E45" s="9">
        <v>269082</v>
      </c>
      <c r="F45" s="3">
        <v>3.4</v>
      </c>
      <c r="G45" s="9">
        <v>18071</v>
      </c>
    </row>
    <row r="46" spans="1:7" ht="15.75" customHeight="1" x14ac:dyDescent="0.3">
      <c r="A46" s="7">
        <v>45544</v>
      </c>
      <c r="B46" s="5" t="s">
        <v>31</v>
      </c>
      <c r="C46" s="9">
        <v>854</v>
      </c>
      <c r="D46" s="9">
        <v>129</v>
      </c>
      <c r="E46" s="9">
        <v>310903</v>
      </c>
      <c r="F46" s="3">
        <v>7.83</v>
      </c>
      <c r="G46" s="9">
        <v>16875</v>
      </c>
    </row>
    <row r="47" spans="1:7" ht="15.75" customHeight="1" x14ac:dyDescent="0.3">
      <c r="A47" s="7">
        <v>45551</v>
      </c>
      <c r="B47" s="5" t="s">
        <v>14</v>
      </c>
      <c r="C47" s="9">
        <v>681</v>
      </c>
      <c r="D47" s="9">
        <v>210</v>
      </c>
      <c r="E47" s="9">
        <v>248581</v>
      </c>
      <c r="F47" s="3">
        <v>8.76</v>
      </c>
      <c r="G47" s="9">
        <v>9567</v>
      </c>
    </row>
    <row r="48" spans="1:7" ht="15.75" customHeight="1" x14ac:dyDescent="0.3">
      <c r="A48" s="7">
        <v>45551</v>
      </c>
      <c r="B48" s="5" t="s">
        <v>24</v>
      </c>
      <c r="C48" s="9">
        <v>1373</v>
      </c>
      <c r="D48" s="9">
        <v>82</v>
      </c>
      <c r="E48" s="9">
        <v>371015</v>
      </c>
      <c r="F48" s="3">
        <v>9.52</v>
      </c>
      <c r="G48" s="9">
        <v>20306</v>
      </c>
    </row>
    <row r="49" spans="1:7" ht="15.75" customHeight="1" x14ac:dyDescent="0.3">
      <c r="A49" s="7">
        <v>45551</v>
      </c>
      <c r="B49" s="5" t="s">
        <v>31</v>
      </c>
      <c r="C49" s="9">
        <v>685</v>
      </c>
      <c r="D49" s="9">
        <v>285</v>
      </c>
      <c r="E49" s="9">
        <v>177452</v>
      </c>
      <c r="F49" s="3">
        <v>3.36</v>
      </c>
      <c r="G49" s="9">
        <v>21134</v>
      </c>
    </row>
    <row r="50" spans="1:7" ht="15.75" customHeight="1" x14ac:dyDescent="0.3">
      <c r="A50" s="7">
        <v>45558</v>
      </c>
      <c r="B50" s="5" t="s">
        <v>14</v>
      </c>
      <c r="C50" s="9">
        <v>1290</v>
      </c>
      <c r="D50" s="9">
        <v>177</v>
      </c>
      <c r="E50" s="9">
        <v>80745</v>
      </c>
      <c r="F50" s="3">
        <v>9.2200000000000006</v>
      </c>
      <c r="G50" s="9">
        <v>26872</v>
      </c>
    </row>
    <row r="51" spans="1:7" ht="15.75" customHeight="1" x14ac:dyDescent="0.3">
      <c r="A51" s="7">
        <v>45558</v>
      </c>
      <c r="B51" s="5" t="s">
        <v>24</v>
      </c>
      <c r="C51" s="9">
        <v>1437</v>
      </c>
      <c r="D51" s="9">
        <v>239</v>
      </c>
      <c r="E51" s="9">
        <v>362441</v>
      </c>
      <c r="F51" s="3">
        <v>5.57</v>
      </c>
      <c r="G51" s="9">
        <v>10253</v>
      </c>
    </row>
    <row r="52" spans="1:7" ht="15.75" customHeight="1" x14ac:dyDescent="0.3">
      <c r="A52" s="7">
        <v>45558</v>
      </c>
      <c r="B52" s="5" t="s">
        <v>31</v>
      </c>
      <c r="C52" s="9">
        <v>769</v>
      </c>
      <c r="D52" s="9">
        <v>295</v>
      </c>
      <c r="E52" s="9">
        <v>344771</v>
      </c>
      <c r="F52" s="3">
        <v>8.06</v>
      </c>
      <c r="G52" s="9">
        <v>23963</v>
      </c>
    </row>
    <row r="53" spans="1:7" ht="15.75" customHeight="1" x14ac:dyDescent="0.3">
      <c r="A53" s="7">
        <v>45565</v>
      </c>
      <c r="B53" s="5" t="s">
        <v>14</v>
      </c>
      <c r="C53" s="9">
        <v>1416</v>
      </c>
      <c r="D53" s="9">
        <v>284</v>
      </c>
      <c r="E53" s="9">
        <v>374952</v>
      </c>
      <c r="F53" s="3">
        <v>3.45</v>
      </c>
      <c r="G53" s="9">
        <v>11335</v>
      </c>
    </row>
    <row r="54" spans="1:7" ht="15.75" customHeight="1" x14ac:dyDescent="0.3">
      <c r="A54" s="7">
        <v>45565</v>
      </c>
      <c r="B54" s="5" t="s">
        <v>24</v>
      </c>
      <c r="C54" s="9">
        <v>998</v>
      </c>
      <c r="D54" s="9">
        <v>154</v>
      </c>
      <c r="E54" s="9">
        <v>179781</v>
      </c>
      <c r="F54" s="3">
        <v>9.58</v>
      </c>
      <c r="G54" s="9">
        <v>12115</v>
      </c>
    </row>
    <row r="55" spans="1:7" ht="15.75" customHeight="1" x14ac:dyDescent="0.3">
      <c r="A55" s="7">
        <v>45565</v>
      </c>
      <c r="B55" s="5" t="s">
        <v>31</v>
      </c>
      <c r="C55" s="9">
        <v>1421</v>
      </c>
      <c r="D55" s="9">
        <v>246</v>
      </c>
      <c r="E55" s="9">
        <v>358581</v>
      </c>
      <c r="F55" s="3">
        <v>8.8800000000000008</v>
      </c>
      <c r="G55" s="9">
        <v>24358</v>
      </c>
    </row>
    <row r="56" spans="1:7" ht="15.75" customHeight="1" x14ac:dyDescent="0.3">
      <c r="A56" s="7">
        <v>45572</v>
      </c>
      <c r="B56" s="5" t="s">
        <v>14</v>
      </c>
      <c r="C56" s="9">
        <v>764</v>
      </c>
      <c r="D56" s="9">
        <v>205</v>
      </c>
      <c r="E56" s="9">
        <v>319294</v>
      </c>
      <c r="F56" s="3">
        <v>6.23</v>
      </c>
      <c r="G56" s="9">
        <v>12181</v>
      </c>
    </row>
    <row r="57" spans="1:7" ht="15.75" customHeight="1" x14ac:dyDescent="0.3">
      <c r="A57" s="7">
        <v>45572</v>
      </c>
      <c r="B57" s="5" t="s">
        <v>24</v>
      </c>
      <c r="C57" s="9">
        <v>678</v>
      </c>
      <c r="D57" s="9">
        <v>124</v>
      </c>
      <c r="E57" s="9">
        <v>192022</v>
      </c>
      <c r="F57" s="3">
        <v>8.4499999999999993</v>
      </c>
      <c r="G57" s="9">
        <v>17729</v>
      </c>
    </row>
    <row r="58" spans="1:7" ht="15.75" customHeight="1" x14ac:dyDescent="0.3">
      <c r="A58" s="7">
        <v>45572</v>
      </c>
      <c r="B58" s="5" t="s">
        <v>31</v>
      </c>
      <c r="C58" s="9">
        <v>1328</v>
      </c>
      <c r="D58" s="9">
        <v>103</v>
      </c>
      <c r="E58" s="9">
        <v>151462</v>
      </c>
      <c r="F58" s="3">
        <v>8.4</v>
      </c>
      <c r="G58" s="9">
        <v>10881</v>
      </c>
    </row>
    <row r="59" spans="1:7" ht="15.75" customHeight="1" x14ac:dyDescent="0.3">
      <c r="A59" s="7">
        <v>45579</v>
      </c>
      <c r="B59" s="5" t="s">
        <v>14</v>
      </c>
      <c r="C59" s="9">
        <v>1161</v>
      </c>
      <c r="D59" s="9">
        <v>269</v>
      </c>
      <c r="E59" s="9">
        <v>188193</v>
      </c>
      <c r="F59" s="3">
        <v>7.34</v>
      </c>
      <c r="G59" s="9">
        <v>18576</v>
      </c>
    </row>
    <row r="60" spans="1:7" ht="15.75" customHeight="1" x14ac:dyDescent="0.3">
      <c r="A60" s="7">
        <v>45579</v>
      </c>
      <c r="B60" s="5" t="s">
        <v>24</v>
      </c>
      <c r="C60" s="9">
        <v>588</v>
      </c>
      <c r="D60" s="9">
        <v>52</v>
      </c>
      <c r="E60" s="9">
        <v>292040</v>
      </c>
      <c r="F60" s="3">
        <v>8.14</v>
      </c>
      <c r="G60" s="9">
        <v>9383</v>
      </c>
    </row>
    <row r="61" spans="1:7" ht="15.75" customHeight="1" x14ac:dyDescent="0.3">
      <c r="A61" s="7">
        <v>45579</v>
      </c>
      <c r="B61" s="5" t="s">
        <v>31</v>
      </c>
      <c r="C61" s="9">
        <v>1457</v>
      </c>
      <c r="D61" s="9">
        <v>215</v>
      </c>
      <c r="E61" s="9">
        <v>325325</v>
      </c>
      <c r="F61" s="3">
        <v>9.58</v>
      </c>
      <c r="G61" s="9">
        <v>14178</v>
      </c>
    </row>
    <row r="62" spans="1:7" ht="15.75" customHeight="1" x14ac:dyDescent="0.3">
      <c r="A62" s="7">
        <v>45586</v>
      </c>
      <c r="B62" s="5" t="s">
        <v>14</v>
      </c>
      <c r="C62" s="9">
        <v>1190</v>
      </c>
      <c r="D62" s="9">
        <v>242</v>
      </c>
      <c r="E62" s="9">
        <v>86849</v>
      </c>
      <c r="F62" s="3">
        <v>8.06</v>
      </c>
      <c r="G62" s="9">
        <v>21254</v>
      </c>
    </row>
    <row r="63" spans="1:7" ht="15.75" customHeight="1" x14ac:dyDescent="0.3">
      <c r="A63" s="7">
        <v>45586</v>
      </c>
      <c r="B63" s="5" t="s">
        <v>24</v>
      </c>
      <c r="C63" s="9">
        <v>886</v>
      </c>
      <c r="D63" s="9">
        <v>124</v>
      </c>
      <c r="E63" s="9">
        <v>141161</v>
      </c>
      <c r="F63" s="3">
        <v>8.19</v>
      </c>
      <c r="G63" s="9">
        <v>14215</v>
      </c>
    </row>
    <row r="64" spans="1:7" ht="15.75" customHeight="1" x14ac:dyDescent="0.3">
      <c r="A64" s="7">
        <v>45586</v>
      </c>
      <c r="B64" s="5" t="s">
        <v>31</v>
      </c>
      <c r="C64" s="9">
        <v>1237</v>
      </c>
      <c r="D64" s="9">
        <v>155</v>
      </c>
      <c r="E64" s="9">
        <v>149916</v>
      </c>
      <c r="F64" s="3">
        <v>4.4800000000000004</v>
      </c>
      <c r="G64" s="9">
        <v>16921</v>
      </c>
    </row>
    <row r="65" spans="1:7" ht="15.75" customHeight="1" x14ac:dyDescent="0.3">
      <c r="A65" s="7">
        <v>45593</v>
      </c>
      <c r="B65" s="5" t="s">
        <v>14</v>
      </c>
      <c r="C65" s="9">
        <v>1435</v>
      </c>
      <c r="D65" s="9">
        <v>261</v>
      </c>
      <c r="E65" s="9">
        <v>308533</v>
      </c>
      <c r="F65" s="3">
        <v>4.5199999999999996</v>
      </c>
      <c r="G65" s="9">
        <v>25130</v>
      </c>
    </row>
    <row r="66" spans="1:7" ht="15.75" customHeight="1" x14ac:dyDescent="0.3">
      <c r="A66" s="7">
        <v>45593</v>
      </c>
      <c r="B66" s="5" t="s">
        <v>24</v>
      </c>
      <c r="C66" s="9">
        <v>746</v>
      </c>
      <c r="D66" s="9">
        <v>282</v>
      </c>
      <c r="E66" s="9">
        <v>293894</v>
      </c>
      <c r="F66" s="3">
        <v>5.42</v>
      </c>
      <c r="G66" s="9">
        <v>25537</v>
      </c>
    </row>
    <row r="67" spans="1:7" ht="15.75" customHeight="1" x14ac:dyDescent="0.3">
      <c r="A67" s="7">
        <v>45593</v>
      </c>
      <c r="B67" s="5" t="s">
        <v>31</v>
      </c>
      <c r="C67" s="9">
        <v>759</v>
      </c>
      <c r="D67" s="9">
        <v>216</v>
      </c>
      <c r="E67" s="9">
        <v>147656</v>
      </c>
      <c r="F67" s="3">
        <v>4.08</v>
      </c>
      <c r="G67" s="9">
        <v>24943</v>
      </c>
    </row>
    <row r="68" spans="1:7" ht="15.75" customHeight="1" x14ac:dyDescent="0.3">
      <c r="A68" s="7">
        <v>45600</v>
      </c>
      <c r="B68" s="5" t="s">
        <v>14</v>
      </c>
      <c r="C68" s="9">
        <v>1437</v>
      </c>
      <c r="D68" s="9">
        <v>235</v>
      </c>
      <c r="E68" s="9">
        <v>326791</v>
      </c>
      <c r="F68" s="3">
        <v>4.0599999999999996</v>
      </c>
      <c r="G68" s="9">
        <v>14563</v>
      </c>
    </row>
    <row r="69" spans="1:7" ht="15.75" customHeight="1" x14ac:dyDescent="0.3">
      <c r="A69" s="7">
        <v>45600</v>
      </c>
      <c r="B69" s="5" t="s">
        <v>24</v>
      </c>
      <c r="C69" s="9">
        <v>1463</v>
      </c>
      <c r="D69" s="9">
        <v>73</v>
      </c>
      <c r="E69" s="9">
        <v>348877</v>
      </c>
      <c r="F69" s="3">
        <v>9.91</v>
      </c>
      <c r="G69" s="9">
        <v>26273</v>
      </c>
    </row>
    <row r="70" spans="1:7" ht="15.75" customHeight="1" x14ac:dyDescent="0.3">
      <c r="A70" s="7">
        <v>45600</v>
      </c>
      <c r="B70" s="5" t="s">
        <v>31</v>
      </c>
      <c r="C70" s="9">
        <v>1208</v>
      </c>
      <c r="D70" s="9">
        <v>224</v>
      </c>
      <c r="E70" s="9">
        <v>122730</v>
      </c>
      <c r="F70" s="3">
        <v>8.7200000000000006</v>
      </c>
      <c r="G70" s="9">
        <v>10858</v>
      </c>
    </row>
    <row r="71" spans="1:7" ht="15.75" customHeight="1" x14ac:dyDescent="0.3">
      <c r="A71" s="7">
        <v>45607</v>
      </c>
      <c r="B71" s="5" t="s">
        <v>14</v>
      </c>
      <c r="C71" s="9">
        <v>1391</v>
      </c>
      <c r="D71" s="9">
        <v>187</v>
      </c>
      <c r="E71" s="9">
        <v>306508</v>
      </c>
      <c r="F71" s="3">
        <v>8.3800000000000008</v>
      </c>
      <c r="G71" s="9">
        <v>25038</v>
      </c>
    </row>
    <row r="72" spans="1:7" ht="15.75" customHeight="1" x14ac:dyDescent="0.3">
      <c r="A72" s="7">
        <v>45607</v>
      </c>
      <c r="B72" s="5" t="s">
        <v>24</v>
      </c>
      <c r="C72" s="9">
        <v>655</v>
      </c>
      <c r="D72" s="9">
        <v>123</v>
      </c>
      <c r="E72" s="9">
        <v>202472</v>
      </c>
      <c r="F72" s="3">
        <v>7.56</v>
      </c>
      <c r="G72" s="9">
        <v>9092</v>
      </c>
    </row>
    <row r="73" spans="1:7" ht="15.75" customHeight="1" x14ac:dyDescent="0.3">
      <c r="A73" s="7">
        <v>45607</v>
      </c>
      <c r="B73" s="5" t="s">
        <v>31</v>
      </c>
      <c r="C73" s="9">
        <v>1148</v>
      </c>
      <c r="D73" s="9">
        <v>90</v>
      </c>
      <c r="E73" s="9">
        <v>227249</v>
      </c>
      <c r="F73" s="3">
        <v>7.24</v>
      </c>
      <c r="G73" s="9">
        <v>17662</v>
      </c>
    </row>
    <row r="74" spans="1:7" ht="15.75" customHeight="1" x14ac:dyDescent="0.3">
      <c r="A74" s="7">
        <v>45614</v>
      </c>
      <c r="B74" s="5" t="s">
        <v>14</v>
      </c>
      <c r="C74" s="9">
        <v>946</v>
      </c>
      <c r="D74" s="9">
        <v>270</v>
      </c>
      <c r="E74" s="9">
        <v>246567</v>
      </c>
      <c r="F74" s="3">
        <v>4.53</v>
      </c>
      <c r="G74" s="9">
        <v>5924</v>
      </c>
    </row>
    <row r="75" spans="1:7" ht="15.75" customHeight="1" x14ac:dyDescent="0.3">
      <c r="A75" s="7">
        <v>45614</v>
      </c>
      <c r="B75" s="5" t="s">
        <v>24</v>
      </c>
      <c r="C75" s="9">
        <v>791</v>
      </c>
      <c r="D75" s="9">
        <v>214</v>
      </c>
      <c r="E75" s="9">
        <v>114738</v>
      </c>
      <c r="F75" s="3">
        <v>6.62</v>
      </c>
      <c r="G75" s="9">
        <v>25347</v>
      </c>
    </row>
    <row r="76" spans="1:7" ht="15.75" customHeight="1" x14ac:dyDescent="0.3">
      <c r="A76" s="7">
        <v>45614</v>
      </c>
      <c r="B76" s="5" t="s">
        <v>31</v>
      </c>
      <c r="C76" s="9">
        <v>793</v>
      </c>
      <c r="D76" s="9">
        <v>111</v>
      </c>
      <c r="E76" s="9">
        <v>333500</v>
      </c>
      <c r="F76" s="3">
        <v>6.36</v>
      </c>
      <c r="G76" s="9">
        <v>8910</v>
      </c>
    </row>
    <row r="77" spans="1:7" ht="15.75" customHeight="1" x14ac:dyDescent="0.3">
      <c r="A77" s="7">
        <v>45621</v>
      </c>
      <c r="B77" s="5" t="s">
        <v>14</v>
      </c>
      <c r="C77" s="9">
        <v>663</v>
      </c>
      <c r="D77" s="9">
        <v>213</v>
      </c>
      <c r="E77" s="9">
        <v>352677</v>
      </c>
      <c r="F77" s="3">
        <v>9</v>
      </c>
      <c r="G77" s="9">
        <v>20438</v>
      </c>
    </row>
    <row r="78" spans="1:7" ht="15.75" customHeight="1" x14ac:dyDescent="0.3">
      <c r="A78" s="7">
        <v>45621</v>
      </c>
      <c r="B78" s="5" t="s">
        <v>24</v>
      </c>
      <c r="C78" s="9">
        <v>954</v>
      </c>
      <c r="D78" s="9">
        <v>271</v>
      </c>
      <c r="E78" s="9">
        <v>160936</v>
      </c>
      <c r="F78" s="3">
        <v>8.83</v>
      </c>
      <c r="G78" s="9">
        <v>8760</v>
      </c>
    </row>
    <row r="79" spans="1:7" ht="15.75" customHeight="1" x14ac:dyDescent="0.3">
      <c r="A79" s="7">
        <v>45621</v>
      </c>
      <c r="B79" s="5" t="s">
        <v>31</v>
      </c>
      <c r="C79" s="9">
        <v>1313</v>
      </c>
      <c r="D79" s="9">
        <v>159</v>
      </c>
      <c r="E79" s="9">
        <v>197183</v>
      </c>
      <c r="F79" s="3">
        <v>9.7100000000000009</v>
      </c>
      <c r="G79" s="9">
        <v>6625</v>
      </c>
    </row>
    <row r="80" spans="1:7" ht="15.75" customHeight="1" x14ac:dyDescent="0.3">
      <c r="A80" s="7">
        <v>45628</v>
      </c>
      <c r="B80" s="5" t="s">
        <v>14</v>
      </c>
      <c r="C80" s="9">
        <v>895</v>
      </c>
      <c r="D80" s="9">
        <v>87</v>
      </c>
      <c r="E80" s="9">
        <v>171271</v>
      </c>
      <c r="F80" s="3">
        <v>6.68</v>
      </c>
      <c r="G80" s="9">
        <v>23329</v>
      </c>
    </row>
    <row r="81" spans="1:7" ht="15.75" customHeight="1" x14ac:dyDescent="0.3">
      <c r="A81" s="7">
        <v>45628</v>
      </c>
      <c r="B81" s="5" t="s">
        <v>24</v>
      </c>
      <c r="C81" s="9">
        <v>1027</v>
      </c>
      <c r="D81" s="9">
        <v>156</v>
      </c>
      <c r="E81" s="9">
        <v>111293</v>
      </c>
      <c r="F81" s="3">
        <v>5.51</v>
      </c>
      <c r="G81" s="9">
        <v>7299</v>
      </c>
    </row>
    <row r="82" spans="1:7" ht="15.75" customHeight="1" x14ac:dyDescent="0.3">
      <c r="A82" s="7">
        <v>45628</v>
      </c>
      <c r="B82" s="5" t="s">
        <v>31</v>
      </c>
      <c r="C82" s="9">
        <v>990</v>
      </c>
      <c r="D82" s="9">
        <v>286</v>
      </c>
      <c r="E82" s="9">
        <v>351493</v>
      </c>
      <c r="F82" s="3">
        <v>7.97</v>
      </c>
      <c r="G82" s="9">
        <v>14496</v>
      </c>
    </row>
    <row r="83" spans="1:7" ht="15.75" customHeight="1" x14ac:dyDescent="0.3">
      <c r="A83" s="7">
        <v>45635</v>
      </c>
      <c r="B83" s="5" t="s">
        <v>14</v>
      </c>
      <c r="C83" s="9">
        <v>875</v>
      </c>
      <c r="D83" s="9">
        <v>264</v>
      </c>
      <c r="E83" s="9">
        <v>345631</v>
      </c>
      <c r="F83" s="3">
        <v>9.18</v>
      </c>
      <c r="G83" s="9">
        <v>25703</v>
      </c>
    </row>
    <row r="84" spans="1:7" ht="15.75" customHeight="1" x14ac:dyDescent="0.3">
      <c r="A84" s="7">
        <v>45635</v>
      </c>
      <c r="B84" s="5" t="s">
        <v>24</v>
      </c>
      <c r="C84" s="9">
        <v>599</v>
      </c>
      <c r="D84" s="9">
        <v>194</v>
      </c>
      <c r="E84" s="9">
        <v>105622</v>
      </c>
      <c r="F84" s="3">
        <v>6.44</v>
      </c>
      <c r="G84" s="9">
        <v>15108</v>
      </c>
    </row>
    <row r="85" spans="1:7" ht="15.75" customHeight="1" x14ac:dyDescent="0.3">
      <c r="A85" s="7">
        <v>45635</v>
      </c>
      <c r="B85" s="5" t="s">
        <v>31</v>
      </c>
      <c r="C85" s="9">
        <v>630</v>
      </c>
      <c r="D85" s="9">
        <v>248</v>
      </c>
      <c r="E85" s="9">
        <v>119054</v>
      </c>
      <c r="F85" s="3">
        <v>5.0199999999999996</v>
      </c>
      <c r="G85" s="9">
        <v>18867</v>
      </c>
    </row>
    <row r="86" spans="1:7" ht="15.75" customHeight="1" x14ac:dyDescent="0.3">
      <c r="A86" s="7">
        <v>45642</v>
      </c>
      <c r="B86" s="5" t="s">
        <v>14</v>
      </c>
      <c r="C86" s="9">
        <v>1350</v>
      </c>
      <c r="D86" s="9">
        <v>233</v>
      </c>
      <c r="E86" s="9">
        <v>171670</v>
      </c>
      <c r="F86" s="3">
        <v>4.53</v>
      </c>
      <c r="G86" s="9">
        <v>17574</v>
      </c>
    </row>
    <row r="87" spans="1:7" ht="15.75" customHeight="1" x14ac:dyDescent="0.3">
      <c r="A87" s="7">
        <v>45642</v>
      </c>
      <c r="B87" s="5" t="s">
        <v>24</v>
      </c>
      <c r="C87" s="9">
        <v>632</v>
      </c>
      <c r="D87" s="9">
        <v>155</v>
      </c>
      <c r="E87" s="9">
        <v>170432</v>
      </c>
      <c r="F87" s="3">
        <v>9.17</v>
      </c>
      <c r="G87" s="9">
        <v>12840</v>
      </c>
    </row>
    <row r="88" spans="1:7" ht="15.75" customHeight="1" x14ac:dyDescent="0.3">
      <c r="A88" s="7">
        <v>45642</v>
      </c>
      <c r="B88" s="5" t="s">
        <v>31</v>
      </c>
      <c r="C88" s="9">
        <v>1182</v>
      </c>
      <c r="D88" s="9">
        <v>83</v>
      </c>
      <c r="E88" s="9">
        <v>140300</v>
      </c>
      <c r="F88" s="3">
        <v>3.27</v>
      </c>
      <c r="G88" s="9">
        <v>21079</v>
      </c>
    </row>
    <row r="89" spans="1:7" ht="15.75" customHeight="1" x14ac:dyDescent="0.3">
      <c r="A89" s="7">
        <v>45649</v>
      </c>
      <c r="B89" s="5" t="s">
        <v>14</v>
      </c>
      <c r="C89" s="9">
        <v>661</v>
      </c>
      <c r="D89" s="9">
        <v>94</v>
      </c>
      <c r="E89" s="9">
        <v>116538</v>
      </c>
      <c r="F89" s="3">
        <v>5.31</v>
      </c>
      <c r="G89" s="9">
        <v>23486</v>
      </c>
    </row>
    <row r="90" spans="1:7" ht="15.75" customHeight="1" x14ac:dyDescent="0.3">
      <c r="A90" s="7">
        <v>45649</v>
      </c>
      <c r="B90" s="5" t="s">
        <v>24</v>
      </c>
      <c r="C90" s="9">
        <v>1360</v>
      </c>
      <c r="D90" s="9">
        <v>227</v>
      </c>
      <c r="E90" s="9">
        <v>176902</v>
      </c>
      <c r="F90" s="3">
        <v>6.03</v>
      </c>
      <c r="G90" s="9">
        <v>5960</v>
      </c>
    </row>
    <row r="91" spans="1:7" ht="15.75" customHeight="1" x14ac:dyDescent="0.3">
      <c r="A91" s="7">
        <v>45649</v>
      </c>
      <c r="B91" s="5" t="s">
        <v>31</v>
      </c>
      <c r="C91" s="9">
        <v>935</v>
      </c>
      <c r="D91" s="9">
        <v>85</v>
      </c>
      <c r="E91" s="9">
        <v>326821</v>
      </c>
      <c r="F91" s="3">
        <v>8.89</v>
      </c>
      <c r="G91" s="9">
        <v>13301</v>
      </c>
    </row>
    <row r="92" spans="1:7" ht="15.75" customHeight="1" x14ac:dyDescent="0.3">
      <c r="A92" s="7">
        <v>45656</v>
      </c>
      <c r="B92" s="5" t="s">
        <v>14</v>
      </c>
      <c r="C92" s="9">
        <v>664</v>
      </c>
      <c r="D92" s="9">
        <v>251</v>
      </c>
      <c r="E92" s="9">
        <v>240598</v>
      </c>
      <c r="F92" s="3">
        <v>4.79</v>
      </c>
      <c r="G92" s="9">
        <v>10563</v>
      </c>
    </row>
    <row r="93" spans="1:7" ht="15.75" customHeight="1" x14ac:dyDescent="0.3">
      <c r="A93" s="7">
        <v>45656</v>
      </c>
      <c r="B93" s="5" t="s">
        <v>24</v>
      </c>
      <c r="C93" s="9">
        <v>1490</v>
      </c>
      <c r="D93" s="9">
        <v>103</v>
      </c>
      <c r="E93" s="9">
        <v>373274</v>
      </c>
      <c r="F93" s="3">
        <v>4.8</v>
      </c>
      <c r="G93" s="9">
        <v>19949</v>
      </c>
    </row>
    <row r="94" spans="1:7" ht="15.75" customHeight="1" x14ac:dyDescent="0.3">
      <c r="A94" s="7">
        <v>45656</v>
      </c>
      <c r="B94" s="5" t="s">
        <v>31</v>
      </c>
      <c r="C94" s="9">
        <v>601</v>
      </c>
      <c r="D94" s="9">
        <v>64</v>
      </c>
      <c r="E94" s="9">
        <v>123272</v>
      </c>
      <c r="F94" s="3">
        <v>4.07</v>
      </c>
      <c r="G94" s="9">
        <v>14273</v>
      </c>
    </row>
    <row r="95" spans="1:7" ht="15.75" customHeight="1" x14ac:dyDescent="0.3">
      <c r="A95" s="7">
        <v>45663</v>
      </c>
      <c r="B95" s="5" t="s">
        <v>14</v>
      </c>
      <c r="C95" s="9">
        <v>613</v>
      </c>
      <c r="D95" s="9">
        <v>170</v>
      </c>
      <c r="E95" s="9">
        <v>139266</v>
      </c>
      <c r="F95" s="3">
        <v>6.06</v>
      </c>
      <c r="G95" s="9">
        <v>9247</v>
      </c>
    </row>
    <row r="96" spans="1:7" ht="15.75" customHeight="1" x14ac:dyDescent="0.3">
      <c r="A96" s="7">
        <v>45663</v>
      </c>
      <c r="B96" s="5" t="s">
        <v>24</v>
      </c>
      <c r="C96" s="9">
        <v>1340</v>
      </c>
      <c r="D96" s="9">
        <v>57</v>
      </c>
      <c r="E96" s="9">
        <v>155927</v>
      </c>
      <c r="F96" s="3">
        <v>7.79</v>
      </c>
      <c r="G96" s="9">
        <v>11972</v>
      </c>
    </row>
    <row r="97" spans="1:7" ht="15.75" customHeight="1" x14ac:dyDescent="0.3">
      <c r="A97" s="7">
        <v>45663</v>
      </c>
      <c r="B97" s="5" t="s">
        <v>31</v>
      </c>
      <c r="C97" s="9">
        <v>953</v>
      </c>
      <c r="D97" s="9">
        <v>228</v>
      </c>
      <c r="E97" s="9">
        <v>258398</v>
      </c>
      <c r="F97" s="3">
        <v>9.0500000000000007</v>
      </c>
      <c r="G97" s="9">
        <v>13314</v>
      </c>
    </row>
    <row r="98" spans="1:7" ht="15.75" customHeight="1" x14ac:dyDescent="0.3">
      <c r="A98" s="7">
        <v>45670</v>
      </c>
      <c r="B98" s="5" t="s">
        <v>14</v>
      </c>
      <c r="C98" s="9">
        <v>532</v>
      </c>
      <c r="D98" s="9">
        <v>65</v>
      </c>
      <c r="E98" s="9">
        <v>338561</v>
      </c>
      <c r="F98" s="3">
        <v>3.5</v>
      </c>
      <c r="G98" s="9">
        <v>14749</v>
      </c>
    </row>
    <row r="99" spans="1:7" ht="15.75" customHeight="1" x14ac:dyDescent="0.3">
      <c r="A99" s="7">
        <v>45670</v>
      </c>
      <c r="B99" s="5" t="s">
        <v>24</v>
      </c>
      <c r="C99" s="9">
        <v>1414</v>
      </c>
      <c r="D99" s="9">
        <v>60</v>
      </c>
      <c r="E99" s="9">
        <v>341856</v>
      </c>
      <c r="F99" s="3">
        <v>8.76</v>
      </c>
      <c r="G99" s="9">
        <v>6868</v>
      </c>
    </row>
    <row r="100" spans="1:7" ht="15.75" customHeight="1" x14ac:dyDescent="0.3">
      <c r="A100" s="7">
        <v>45670</v>
      </c>
      <c r="B100" s="5" t="s">
        <v>31</v>
      </c>
      <c r="C100" s="9">
        <v>685</v>
      </c>
      <c r="D100" s="9">
        <v>165</v>
      </c>
      <c r="E100" s="9">
        <v>175860</v>
      </c>
      <c r="F100" s="3">
        <v>6.26</v>
      </c>
      <c r="G100" s="9">
        <v>6027</v>
      </c>
    </row>
    <row r="101" spans="1:7" ht="15.75" customHeight="1" x14ac:dyDescent="0.3">
      <c r="A101" s="7">
        <v>45677</v>
      </c>
      <c r="B101" s="5" t="s">
        <v>14</v>
      </c>
      <c r="C101" s="9">
        <v>601</v>
      </c>
      <c r="D101" s="9">
        <v>159</v>
      </c>
      <c r="E101" s="9">
        <v>327722</v>
      </c>
      <c r="F101" s="3">
        <v>3.33</v>
      </c>
      <c r="G101" s="9">
        <v>25267</v>
      </c>
    </row>
    <row r="102" spans="1:7" ht="15.75" customHeight="1" x14ac:dyDescent="0.3">
      <c r="A102" s="7">
        <v>45677</v>
      </c>
      <c r="B102" s="5" t="s">
        <v>24</v>
      </c>
      <c r="C102" s="9">
        <v>841</v>
      </c>
      <c r="D102" s="9">
        <v>295</v>
      </c>
      <c r="E102" s="9">
        <v>271638</v>
      </c>
      <c r="F102" s="3">
        <v>9.15</v>
      </c>
      <c r="G102" s="9">
        <v>5900</v>
      </c>
    </row>
    <row r="103" spans="1:7" ht="15.75" customHeight="1" x14ac:dyDescent="0.3">
      <c r="A103" s="7">
        <v>45677</v>
      </c>
      <c r="B103" s="5" t="s">
        <v>31</v>
      </c>
      <c r="C103" s="9">
        <v>1105</v>
      </c>
      <c r="D103" s="9">
        <v>261</v>
      </c>
      <c r="E103" s="9">
        <v>333851</v>
      </c>
      <c r="F103" s="3">
        <v>6.03</v>
      </c>
      <c r="G103" s="9">
        <v>11181</v>
      </c>
    </row>
    <row r="104" spans="1:7" ht="15.75" customHeight="1" x14ac:dyDescent="0.3">
      <c r="A104" s="7">
        <v>45684</v>
      </c>
      <c r="B104" s="5" t="s">
        <v>14</v>
      </c>
      <c r="C104" s="9">
        <v>566</v>
      </c>
      <c r="D104" s="9">
        <v>225</v>
      </c>
      <c r="E104" s="9">
        <v>368984</v>
      </c>
      <c r="F104" s="3">
        <v>9.82</v>
      </c>
      <c r="G104" s="9">
        <v>9592</v>
      </c>
    </row>
    <row r="105" spans="1:7" ht="15.75" customHeight="1" x14ac:dyDescent="0.3">
      <c r="A105" s="7">
        <v>45684</v>
      </c>
      <c r="B105" s="5" t="s">
        <v>24</v>
      </c>
      <c r="C105" s="9">
        <v>1149</v>
      </c>
      <c r="D105" s="9">
        <v>280</v>
      </c>
      <c r="E105" s="9">
        <v>167310</v>
      </c>
      <c r="F105" s="3">
        <v>3.7</v>
      </c>
      <c r="G105" s="9">
        <v>5291</v>
      </c>
    </row>
    <row r="106" spans="1:7" ht="15.75" customHeight="1" x14ac:dyDescent="0.3">
      <c r="A106" s="7">
        <v>45684</v>
      </c>
      <c r="B106" s="5" t="s">
        <v>31</v>
      </c>
      <c r="C106" s="9">
        <v>819</v>
      </c>
      <c r="D106" s="9">
        <v>101</v>
      </c>
      <c r="E106" s="9">
        <v>194811</v>
      </c>
      <c r="F106" s="3">
        <v>3.35</v>
      </c>
      <c r="G106" s="9">
        <v>22244</v>
      </c>
    </row>
    <row r="107" spans="1:7" ht="15.75" customHeight="1" x14ac:dyDescent="0.3">
      <c r="A107" s="7">
        <v>45691</v>
      </c>
      <c r="B107" s="5" t="s">
        <v>14</v>
      </c>
      <c r="C107" s="9">
        <v>795</v>
      </c>
      <c r="D107" s="9">
        <v>60</v>
      </c>
      <c r="E107" s="9">
        <v>314982</v>
      </c>
      <c r="F107" s="3">
        <v>7.31</v>
      </c>
      <c r="G107" s="9">
        <v>6824</v>
      </c>
    </row>
    <row r="108" spans="1:7" ht="15.75" customHeight="1" x14ac:dyDescent="0.3">
      <c r="A108" s="7">
        <v>45691</v>
      </c>
      <c r="B108" s="5" t="s">
        <v>24</v>
      </c>
      <c r="C108" s="9">
        <v>681</v>
      </c>
      <c r="D108" s="9">
        <v>158</v>
      </c>
      <c r="E108" s="9">
        <v>75960</v>
      </c>
      <c r="F108" s="3">
        <v>3.13</v>
      </c>
      <c r="G108" s="9">
        <v>24112</v>
      </c>
    </row>
    <row r="109" spans="1:7" ht="15.75" customHeight="1" x14ac:dyDescent="0.3">
      <c r="A109" s="7">
        <v>45691</v>
      </c>
      <c r="B109" s="5" t="s">
        <v>31</v>
      </c>
      <c r="C109" s="9">
        <v>534</v>
      </c>
      <c r="D109" s="9">
        <v>112</v>
      </c>
      <c r="E109" s="9">
        <v>360759</v>
      </c>
      <c r="F109" s="3">
        <v>4.8899999999999997</v>
      </c>
      <c r="G109" s="9">
        <v>25478</v>
      </c>
    </row>
    <row r="110" spans="1:7" ht="15.75" customHeight="1" x14ac:dyDescent="0.3">
      <c r="A110" s="7">
        <v>45698</v>
      </c>
      <c r="B110" s="5" t="s">
        <v>14</v>
      </c>
      <c r="C110" s="9">
        <v>1066</v>
      </c>
      <c r="D110" s="9">
        <v>151</v>
      </c>
      <c r="E110" s="9">
        <v>297090</v>
      </c>
      <c r="F110" s="3">
        <v>8.6300000000000008</v>
      </c>
      <c r="G110" s="9">
        <v>11235</v>
      </c>
    </row>
    <row r="111" spans="1:7" ht="15.75" customHeight="1" x14ac:dyDescent="0.3">
      <c r="A111" s="7">
        <v>45698</v>
      </c>
      <c r="B111" s="5" t="s">
        <v>24</v>
      </c>
      <c r="C111" s="9">
        <v>1270</v>
      </c>
      <c r="D111" s="9">
        <v>162</v>
      </c>
      <c r="E111" s="9">
        <v>92040</v>
      </c>
      <c r="F111" s="3">
        <v>8.0299999999999994</v>
      </c>
      <c r="G111" s="9">
        <v>6120</v>
      </c>
    </row>
    <row r="112" spans="1:7" ht="15.75" customHeight="1" x14ac:dyDescent="0.3">
      <c r="A112" s="7">
        <v>45698</v>
      </c>
      <c r="B112" s="5" t="s">
        <v>31</v>
      </c>
      <c r="C112" s="9">
        <v>536</v>
      </c>
      <c r="D112" s="9">
        <v>198</v>
      </c>
      <c r="E112" s="9">
        <v>174610</v>
      </c>
      <c r="F112" s="3">
        <v>7.85</v>
      </c>
      <c r="G112" s="9">
        <v>20572</v>
      </c>
    </row>
    <row r="113" spans="1:7" ht="15.75" customHeight="1" x14ac:dyDescent="0.3">
      <c r="A113" s="7">
        <v>45705</v>
      </c>
      <c r="B113" s="5" t="s">
        <v>14</v>
      </c>
      <c r="C113" s="9">
        <v>819</v>
      </c>
      <c r="D113" s="9">
        <v>95</v>
      </c>
      <c r="E113" s="9">
        <v>177376</v>
      </c>
      <c r="F113" s="3">
        <v>6.12</v>
      </c>
      <c r="G113" s="9">
        <v>14975</v>
      </c>
    </row>
    <row r="114" spans="1:7" ht="15.75" customHeight="1" x14ac:dyDescent="0.3">
      <c r="A114" s="7">
        <v>45705</v>
      </c>
      <c r="B114" s="5" t="s">
        <v>24</v>
      </c>
      <c r="C114" s="9">
        <v>681</v>
      </c>
      <c r="D114" s="9">
        <v>218</v>
      </c>
      <c r="E114" s="9">
        <v>198882</v>
      </c>
      <c r="F114" s="3">
        <v>7.16</v>
      </c>
      <c r="G114" s="9">
        <v>22234</v>
      </c>
    </row>
    <row r="115" spans="1:7" ht="15.75" customHeight="1" x14ac:dyDescent="0.3">
      <c r="A115" s="7">
        <v>45705</v>
      </c>
      <c r="B115" s="5" t="s">
        <v>31</v>
      </c>
      <c r="C115" s="9">
        <v>646</v>
      </c>
      <c r="D115" s="9">
        <v>290</v>
      </c>
      <c r="E115" s="9">
        <v>336383</v>
      </c>
      <c r="F115" s="3">
        <v>7.04</v>
      </c>
      <c r="G115" s="9">
        <v>6532</v>
      </c>
    </row>
    <row r="116" spans="1:7" ht="15.75" customHeight="1" x14ac:dyDescent="0.3">
      <c r="A116" s="7">
        <v>45712</v>
      </c>
      <c r="B116" s="5" t="s">
        <v>14</v>
      </c>
      <c r="C116" s="9">
        <v>645</v>
      </c>
      <c r="D116" s="9">
        <v>267</v>
      </c>
      <c r="E116" s="9">
        <v>346890</v>
      </c>
      <c r="F116" s="3">
        <v>3.71</v>
      </c>
      <c r="G116" s="9">
        <v>24858</v>
      </c>
    </row>
    <row r="117" spans="1:7" ht="15.75" customHeight="1" x14ac:dyDescent="0.3">
      <c r="A117" s="7">
        <v>45712</v>
      </c>
      <c r="B117" s="5" t="s">
        <v>24</v>
      </c>
      <c r="C117" s="9">
        <v>886</v>
      </c>
      <c r="D117" s="9">
        <v>250</v>
      </c>
      <c r="E117" s="9">
        <v>168170</v>
      </c>
      <c r="F117" s="3">
        <v>4.12</v>
      </c>
      <c r="G117" s="9">
        <v>13883</v>
      </c>
    </row>
    <row r="118" spans="1:7" ht="15.75" customHeight="1" x14ac:dyDescent="0.3">
      <c r="A118" s="7">
        <v>45712</v>
      </c>
      <c r="B118" s="5" t="s">
        <v>31</v>
      </c>
      <c r="C118" s="9">
        <v>978</v>
      </c>
      <c r="D118" s="9">
        <v>279</v>
      </c>
      <c r="E118" s="9">
        <v>368872</v>
      </c>
      <c r="F118" s="3">
        <v>6.82</v>
      </c>
      <c r="G118" s="9">
        <v>18654</v>
      </c>
    </row>
    <row r="119" spans="1:7" ht="15.75" customHeight="1" x14ac:dyDescent="0.3">
      <c r="A119" s="7">
        <v>45719</v>
      </c>
      <c r="B119" s="5" t="s">
        <v>14</v>
      </c>
      <c r="C119" s="9">
        <v>1444</v>
      </c>
      <c r="D119" s="9">
        <v>165</v>
      </c>
      <c r="E119" s="9">
        <v>116436</v>
      </c>
      <c r="F119" s="3">
        <v>8.2200000000000006</v>
      </c>
      <c r="G119" s="9">
        <v>25234</v>
      </c>
    </row>
    <row r="120" spans="1:7" ht="15.75" customHeight="1" x14ac:dyDescent="0.3">
      <c r="A120" s="7">
        <v>45719</v>
      </c>
      <c r="B120" s="5" t="s">
        <v>24</v>
      </c>
      <c r="C120" s="9">
        <v>1234</v>
      </c>
      <c r="D120" s="9">
        <v>228</v>
      </c>
      <c r="E120" s="9">
        <v>127502</v>
      </c>
      <c r="F120" s="3">
        <v>7.71</v>
      </c>
      <c r="G120" s="9">
        <v>6772</v>
      </c>
    </row>
    <row r="121" spans="1:7" ht="15.75" customHeight="1" x14ac:dyDescent="0.3">
      <c r="A121" s="7">
        <v>45719</v>
      </c>
      <c r="B121" s="5" t="s">
        <v>31</v>
      </c>
      <c r="C121" s="9">
        <v>665</v>
      </c>
      <c r="D121" s="9">
        <v>187</v>
      </c>
      <c r="E121" s="9">
        <v>274567</v>
      </c>
      <c r="F121" s="3">
        <v>7.39</v>
      </c>
      <c r="G121" s="9">
        <v>22428</v>
      </c>
    </row>
    <row r="122" spans="1:7" ht="15.75" customHeight="1" x14ac:dyDescent="0.3">
      <c r="A122" s="7">
        <v>45726</v>
      </c>
      <c r="B122" s="5" t="s">
        <v>14</v>
      </c>
      <c r="C122" s="9">
        <v>631</v>
      </c>
      <c r="D122" s="9">
        <v>86</v>
      </c>
      <c r="E122" s="9">
        <v>295090</v>
      </c>
      <c r="F122" s="3">
        <v>7.89</v>
      </c>
      <c r="G122" s="9">
        <v>11911</v>
      </c>
    </row>
    <row r="123" spans="1:7" ht="15.75" customHeight="1" x14ac:dyDescent="0.3">
      <c r="A123" s="7">
        <v>45726</v>
      </c>
      <c r="B123" s="5" t="s">
        <v>24</v>
      </c>
      <c r="C123" s="9">
        <v>1159</v>
      </c>
      <c r="D123" s="9">
        <v>154</v>
      </c>
      <c r="E123" s="9">
        <v>194994</v>
      </c>
      <c r="F123" s="3">
        <v>6.39</v>
      </c>
      <c r="G123" s="9">
        <v>21900</v>
      </c>
    </row>
    <row r="124" spans="1:7" ht="15.75" customHeight="1" x14ac:dyDescent="0.3">
      <c r="A124" s="7">
        <v>45726</v>
      </c>
      <c r="B124" s="5" t="s">
        <v>31</v>
      </c>
      <c r="C124" s="9">
        <v>950</v>
      </c>
      <c r="D124" s="9">
        <v>185</v>
      </c>
      <c r="E124" s="9">
        <v>340750</v>
      </c>
      <c r="F124" s="3">
        <v>6.77</v>
      </c>
      <c r="G124" s="9">
        <v>25542</v>
      </c>
    </row>
    <row r="125" spans="1:7" ht="15.75" customHeight="1" x14ac:dyDescent="0.3">
      <c r="A125" s="7">
        <v>45733</v>
      </c>
      <c r="B125" s="5" t="s">
        <v>14</v>
      </c>
      <c r="C125" s="9">
        <v>693</v>
      </c>
      <c r="D125" s="9">
        <v>129</v>
      </c>
      <c r="E125" s="9">
        <v>296031</v>
      </c>
      <c r="F125" s="3">
        <v>3.41</v>
      </c>
      <c r="G125" s="9">
        <v>7140</v>
      </c>
    </row>
    <row r="126" spans="1:7" ht="15.75" customHeight="1" x14ac:dyDescent="0.3">
      <c r="A126" s="7">
        <v>45733</v>
      </c>
      <c r="B126" s="5" t="s">
        <v>24</v>
      </c>
      <c r="C126" s="9">
        <v>576</v>
      </c>
      <c r="D126" s="9">
        <v>80</v>
      </c>
      <c r="E126" s="9">
        <v>345688</v>
      </c>
      <c r="F126" s="3">
        <v>4.1100000000000003</v>
      </c>
      <c r="G126" s="9">
        <v>20474</v>
      </c>
    </row>
    <row r="127" spans="1:7" ht="15.75" customHeight="1" x14ac:dyDescent="0.3">
      <c r="A127" s="7">
        <v>45733</v>
      </c>
      <c r="B127" s="5" t="s">
        <v>31</v>
      </c>
      <c r="C127" s="9">
        <v>1274</v>
      </c>
      <c r="D127" s="9">
        <v>146</v>
      </c>
      <c r="E127" s="9">
        <v>263488</v>
      </c>
      <c r="F127" s="3">
        <v>9.58</v>
      </c>
      <c r="G127" s="9">
        <v>8698</v>
      </c>
    </row>
    <row r="128" spans="1:7" ht="15.75" customHeight="1" x14ac:dyDescent="0.3">
      <c r="A128" s="7">
        <v>45740</v>
      </c>
      <c r="B128" s="5" t="s">
        <v>14</v>
      </c>
      <c r="C128" s="9">
        <v>818</v>
      </c>
      <c r="D128" s="9">
        <v>253</v>
      </c>
      <c r="E128" s="9">
        <v>184911</v>
      </c>
      <c r="F128" s="3">
        <v>3.39</v>
      </c>
      <c r="G128" s="9">
        <v>10402</v>
      </c>
    </row>
    <row r="129" spans="1:7" ht="15.75" customHeight="1" x14ac:dyDescent="0.3">
      <c r="A129" s="7">
        <v>45740</v>
      </c>
      <c r="B129" s="5" t="s">
        <v>24</v>
      </c>
      <c r="C129" s="9">
        <v>975</v>
      </c>
      <c r="D129" s="9">
        <v>162</v>
      </c>
      <c r="E129" s="9">
        <v>124497</v>
      </c>
      <c r="F129" s="3">
        <v>9.58</v>
      </c>
      <c r="G129" s="9">
        <v>26618</v>
      </c>
    </row>
    <row r="130" spans="1:7" ht="15.75" customHeight="1" x14ac:dyDescent="0.3">
      <c r="A130" s="7">
        <v>45740</v>
      </c>
      <c r="B130" s="5" t="s">
        <v>31</v>
      </c>
      <c r="C130" s="9">
        <v>1398</v>
      </c>
      <c r="D130" s="9">
        <v>97</v>
      </c>
      <c r="E130" s="9">
        <v>397607</v>
      </c>
      <c r="F130" s="3">
        <v>5.09</v>
      </c>
      <c r="G130" s="9">
        <v>7975</v>
      </c>
    </row>
    <row r="131" spans="1:7" ht="15.75" customHeight="1" x14ac:dyDescent="0.3">
      <c r="A131" s="7">
        <v>45747</v>
      </c>
      <c r="B131" s="5" t="s">
        <v>14</v>
      </c>
      <c r="C131" s="9">
        <v>591</v>
      </c>
      <c r="D131" s="9">
        <v>155</v>
      </c>
      <c r="E131" s="9">
        <v>138521</v>
      </c>
      <c r="F131" s="3">
        <v>7.85</v>
      </c>
      <c r="G131" s="9">
        <v>19054</v>
      </c>
    </row>
    <row r="132" spans="1:7" ht="15.75" customHeight="1" x14ac:dyDescent="0.3">
      <c r="A132" s="7">
        <v>45747</v>
      </c>
      <c r="B132" s="5" t="s">
        <v>24</v>
      </c>
      <c r="C132" s="9">
        <v>1232</v>
      </c>
      <c r="D132" s="9">
        <v>254</v>
      </c>
      <c r="E132" s="9">
        <v>107718</v>
      </c>
      <c r="F132" s="3">
        <v>9.7100000000000009</v>
      </c>
      <c r="G132" s="9">
        <v>13740</v>
      </c>
    </row>
    <row r="133" spans="1:7" ht="15.75" customHeight="1" x14ac:dyDescent="0.3">
      <c r="A133" s="7">
        <v>45747</v>
      </c>
      <c r="B133" s="5" t="s">
        <v>31</v>
      </c>
      <c r="C133" s="9">
        <v>1425</v>
      </c>
      <c r="D133" s="9">
        <v>58</v>
      </c>
      <c r="E133" s="9">
        <v>202234</v>
      </c>
      <c r="F133" s="3">
        <v>6.67</v>
      </c>
      <c r="G133" s="9">
        <v>18442</v>
      </c>
    </row>
    <row r="134" spans="1:7" ht="15.75" customHeight="1" x14ac:dyDescent="0.3">
      <c r="A134" s="7">
        <v>45754</v>
      </c>
      <c r="B134" s="5" t="s">
        <v>14</v>
      </c>
      <c r="C134" s="9">
        <v>1417</v>
      </c>
      <c r="D134" s="9">
        <v>80</v>
      </c>
      <c r="E134" s="9">
        <v>340987</v>
      </c>
      <c r="F134" s="3">
        <v>6.13</v>
      </c>
      <c r="G134" s="9">
        <v>10104</v>
      </c>
    </row>
    <row r="135" spans="1:7" ht="15.75" customHeight="1" x14ac:dyDescent="0.3">
      <c r="A135" s="7">
        <v>45754</v>
      </c>
      <c r="B135" s="5" t="s">
        <v>24</v>
      </c>
      <c r="C135" s="9">
        <v>1222</v>
      </c>
      <c r="D135" s="9">
        <v>208</v>
      </c>
      <c r="E135" s="9">
        <v>340098</v>
      </c>
      <c r="F135" s="3">
        <v>7.34</v>
      </c>
      <c r="G135" s="9">
        <v>21771</v>
      </c>
    </row>
    <row r="136" spans="1:7" ht="15.75" customHeight="1" x14ac:dyDescent="0.3">
      <c r="A136" s="7">
        <v>45754</v>
      </c>
      <c r="B136" s="5" t="s">
        <v>31</v>
      </c>
      <c r="C136" s="9">
        <v>1071</v>
      </c>
      <c r="D136" s="9">
        <v>131</v>
      </c>
      <c r="E136" s="9">
        <v>254727</v>
      </c>
      <c r="F136" s="3">
        <v>6.87</v>
      </c>
      <c r="G136" s="9">
        <v>22191</v>
      </c>
    </row>
    <row r="137" spans="1:7" ht="15.75" customHeight="1" x14ac:dyDescent="0.3">
      <c r="A137" s="7">
        <v>45761</v>
      </c>
      <c r="B137" s="5" t="s">
        <v>14</v>
      </c>
      <c r="C137" s="9">
        <v>772</v>
      </c>
      <c r="D137" s="9">
        <v>82</v>
      </c>
      <c r="E137" s="9">
        <v>345659</v>
      </c>
      <c r="F137" s="3">
        <v>3.52</v>
      </c>
      <c r="G137" s="9">
        <v>27753</v>
      </c>
    </row>
    <row r="138" spans="1:7" ht="15.75" customHeight="1" x14ac:dyDescent="0.3">
      <c r="A138" s="7">
        <v>45761</v>
      </c>
      <c r="B138" s="5" t="s">
        <v>24</v>
      </c>
      <c r="C138" s="9">
        <v>1472</v>
      </c>
      <c r="D138" s="9">
        <v>137</v>
      </c>
      <c r="E138" s="9">
        <v>213950</v>
      </c>
      <c r="F138" s="3">
        <v>6.96</v>
      </c>
      <c r="G138" s="9">
        <v>23736</v>
      </c>
    </row>
    <row r="139" spans="1:7" ht="15.75" customHeight="1" x14ac:dyDescent="0.3">
      <c r="A139" s="7">
        <v>45761</v>
      </c>
      <c r="B139" s="5" t="s">
        <v>31</v>
      </c>
      <c r="C139" s="9">
        <v>1472</v>
      </c>
      <c r="D139" s="9">
        <v>281</v>
      </c>
      <c r="E139" s="9">
        <v>258115</v>
      </c>
      <c r="F139" s="3">
        <v>7.23</v>
      </c>
      <c r="G139" s="9">
        <v>27393</v>
      </c>
    </row>
    <row r="140" spans="1:7" ht="15.75" customHeight="1" x14ac:dyDescent="0.3">
      <c r="A140" s="7">
        <v>45768</v>
      </c>
      <c r="B140" s="5" t="s">
        <v>14</v>
      </c>
      <c r="C140" s="9">
        <v>585</v>
      </c>
      <c r="D140" s="9">
        <v>232</v>
      </c>
      <c r="E140" s="9">
        <v>321258</v>
      </c>
      <c r="F140" s="3">
        <v>7.42</v>
      </c>
      <c r="G140" s="9">
        <v>10343</v>
      </c>
    </row>
    <row r="141" spans="1:7" ht="15.75" customHeight="1" x14ac:dyDescent="0.3">
      <c r="A141" s="7">
        <v>45768</v>
      </c>
      <c r="B141" s="5" t="s">
        <v>24</v>
      </c>
      <c r="C141" s="9">
        <v>747</v>
      </c>
      <c r="D141" s="9">
        <v>261</v>
      </c>
      <c r="E141" s="9">
        <v>338650</v>
      </c>
      <c r="F141" s="3">
        <v>7.73</v>
      </c>
      <c r="G141" s="9">
        <v>25259</v>
      </c>
    </row>
    <row r="142" spans="1:7" ht="15.75" customHeight="1" x14ac:dyDescent="0.3">
      <c r="A142" s="7">
        <v>45768</v>
      </c>
      <c r="B142" s="5" t="s">
        <v>31</v>
      </c>
      <c r="C142" s="9">
        <v>1113</v>
      </c>
      <c r="D142" s="9">
        <v>224</v>
      </c>
      <c r="E142" s="9">
        <v>272989</v>
      </c>
      <c r="F142" s="3">
        <v>5.13</v>
      </c>
      <c r="G142" s="9">
        <v>24827</v>
      </c>
    </row>
    <row r="143" spans="1:7" ht="15.75" customHeight="1" x14ac:dyDescent="0.3">
      <c r="A143" s="7">
        <v>45775</v>
      </c>
      <c r="B143" s="5" t="s">
        <v>14</v>
      </c>
      <c r="C143" s="9">
        <v>1100</v>
      </c>
      <c r="D143" s="9">
        <v>117</v>
      </c>
      <c r="E143" s="9">
        <v>260204</v>
      </c>
      <c r="F143" s="3">
        <v>4.4000000000000004</v>
      </c>
      <c r="G143" s="9">
        <v>11908</v>
      </c>
    </row>
    <row r="144" spans="1:7" ht="15.75" customHeight="1" x14ac:dyDescent="0.3">
      <c r="A144" s="7">
        <v>45775</v>
      </c>
      <c r="B144" s="5" t="s">
        <v>24</v>
      </c>
      <c r="C144" s="9">
        <v>751</v>
      </c>
      <c r="D144" s="9">
        <v>170</v>
      </c>
      <c r="E144" s="9">
        <v>283278</v>
      </c>
      <c r="F144" s="3">
        <v>3.49</v>
      </c>
      <c r="G144" s="9">
        <v>11005</v>
      </c>
    </row>
    <row r="145" spans="1:7" ht="15.75" customHeight="1" x14ac:dyDescent="0.3">
      <c r="A145" s="7">
        <v>45775</v>
      </c>
      <c r="B145" s="5" t="s">
        <v>31</v>
      </c>
      <c r="C145" s="9">
        <v>864</v>
      </c>
      <c r="D145" s="9">
        <v>50</v>
      </c>
      <c r="E145" s="9">
        <v>277445</v>
      </c>
      <c r="F145" s="3">
        <v>3.57</v>
      </c>
      <c r="G145" s="9">
        <v>26333</v>
      </c>
    </row>
    <row r="146" spans="1:7" ht="15.75" customHeight="1" x14ac:dyDescent="0.3">
      <c r="A146" s="7">
        <v>45782</v>
      </c>
      <c r="B146" s="5" t="s">
        <v>14</v>
      </c>
      <c r="C146" s="9">
        <v>1146</v>
      </c>
      <c r="D146" s="9">
        <v>227</v>
      </c>
      <c r="E146" s="9">
        <v>353781</v>
      </c>
      <c r="F146" s="3">
        <v>6.41</v>
      </c>
      <c r="G146" s="9">
        <v>5495</v>
      </c>
    </row>
    <row r="147" spans="1:7" ht="15.75" customHeight="1" x14ac:dyDescent="0.3">
      <c r="A147" s="7">
        <v>45782</v>
      </c>
      <c r="B147" s="5" t="s">
        <v>24</v>
      </c>
      <c r="C147" s="9">
        <v>883</v>
      </c>
      <c r="D147" s="9">
        <v>207</v>
      </c>
      <c r="E147" s="9">
        <v>265019</v>
      </c>
      <c r="F147" s="3">
        <v>6.04</v>
      </c>
      <c r="G147" s="9">
        <v>15655</v>
      </c>
    </row>
    <row r="148" spans="1:7" ht="15.75" customHeight="1" x14ac:dyDescent="0.3">
      <c r="A148" s="7">
        <v>45782</v>
      </c>
      <c r="B148" s="5" t="s">
        <v>31</v>
      </c>
      <c r="C148" s="9">
        <v>622</v>
      </c>
      <c r="D148" s="9">
        <v>163</v>
      </c>
      <c r="E148" s="9">
        <v>231925</v>
      </c>
      <c r="F148" s="3">
        <v>9.18</v>
      </c>
      <c r="G148" s="9">
        <v>13763</v>
      </c>
    </row>
    <row r="149" spans="1:7" ht="15.75" customHeight="1" x14ac:dyDescent="0.3">
      <c r="A149" s="7">
        <v>45789</v>
      </c>
      <c r="B149" s="5" t="s">
        <v>14</v>
      </c>
      <c r="C149" s="9">
        <v>837</v>
      </c>
      <c r="D149" s="9">
        <v>261</v>
      </c>
      <c r="E149" s="9">
        <v>366149</v>
      </c>
      <c r="F149" s="3">
        <v>6.54</v>
      </c>
      <c r="G149" s="9">
        <v>26073</v>
      </c>
    </row>
    <row r="150" spans="1:7" ht="15.75" customHeight="1" x14ac:dyDescent="0.3">
      <c r="A150" s="7">
        <v>45789</v>
      </c>
      <c r="B150" s="5" t="s">
        <v>24</v>
      </c>
      <c r="C150" s="9">
        <v>544</v>
      </c>
      <c r="D150" s="9">
        <v>97</v>
      </c>
      <c r="E150" s="9">
        <v>168375</v>
      </c>
      <c r="F150" s="3">
        <v>8.66</v>
      </c>
      <c r="G150" s="9">
        <v>12774</v>
      </c>
    </row>
    <row r="151" spans="1:7" ht="15.75" customHeight="1" x14ac:dyDescent="0.3">
      <c r="A151" s="7">
        <v>45789</v>
      </c>
      <c r="B151" s="5" t="s">
        <v>31</v>
      </c>
      <c r="C151" s="9">
        <v>624</v>
      </c>
      <c r="D151" s="9">
        <v>247</v>
      </c>
      <c r="E151" s="9">
        <v>252763</v>
      </c>
      <c r="F151" s="3">
        <v>3.89</v>
      </c>
      <c r="G151" s="9">
        <v>19000</v>
      </c>
    </row>
    <row r="152" spans="1:7" ht="15.75" customHeight="1" x14ac:dyDescent="0.3">
      <c r="A152" s="7">
        <v>45796</v>
      </c>
      <c r="B152" s="5" t="s">
        <v>14</v>
      </c>
      <c r="C152" s="9">
        <v>1073</v>
      </c>
      <c r="D152" s="9">
        <v>141</v>
      </c>
      <c r="E152" s="9">
        <v>118393</v>
      </c>
      <c r="F152" s="3">
        <v>7.95</v>
      </c>
      <c r="G152" s="9">
        <v>14051</v>
      </c>
    </row>
    <row r="153" spans="1:7" ht="15.75" customHeight="1" x14ac:dyDescent="0.3">
      <c r="A153" s="7">
        <v>45796</v>
      </c>
      <c r="B153" s="5" t="s">
        <v>24</v>
      </c>
      <c r="C153" s="9">
        <v>1430</v>
      </c>
      <c r="D153" s="9">
        <v>74</v>
      </c>
      <c r="E153" s="9">
        <v>327012</v>
      </c>
      <c r="F153" s="3">
        <v>6.66</v>
      </c>
      <c r="G153" s="9">
        <v>27782</v>
      </c>
    </row>
    <row r="154" spans="1:7" ht="15.75" customHeight="1" x14ac:dyDescent="0.3">
      <c r="A154" s="7">
        <v>45796</v>
      </c>
      <c r="B154" s="5" t="s">
        <v>31</v>
      </c>
      <c r="C154" s="9">
        <v>1358</v>
      </c>
      <c r="D154" s="9">
        <v>77</v>
      </c>
      <c r="E154" s="9">
        <v>169688</v>
      </c>
      <c r="F154" s="3">
        <v>5.25</v>
      </c>
      <c r="G154" s="9">
        <v>7859</v>
      </c>
    </row>
    <row r="155" spans="1:7" ht="15.75" customHeight="1" x14ac:dyDescent="0.3">
      <c r="A155" s="7">
        <v>45803</v>
      </c>
      <c r="B155" s="5" t="s">
        <v>14</v>
      </c>
      <c r="C155" s="9">
        <v>1242</v>
      </c>
      <c r="D155" s="9">
        <v>201</v>
      </c>
      <c r="E155" s="9">
        <v>271935</v>
      </c>
      <c r="F155" s="3">
        <v>5.07</v>
      </c>
      <c r="G155" s="9">
        <v>15773</v>
      </c>
    </row>
    <row r="156" spans="1:7" ht="15.75" customHeight="1" x14ac:dyDescent="0.3">
      <c r="A156" s="7">
        <v>45803</v>
      </c>
      <c r="B156" s="5" t="s">
        <v>24</v>
      </c>
      <c r="C156" s="9">
        <v>1389</v>
      </c>
      <c r="D156" s="9">
        <v>205</v>
      </c>
      <c r="E156" s="9">
        <v>315981</v>
      </c>
      <c r="F156" s="3">
        <v>7.62</v>
      </c>
      <c r="G156" s="9">
        <v>20595</v>
      </c>
    </row>
    <row r="157" spans="1:7" ht="15.75" customHeight="1" x14ac:dyDescent="0.3">
      <c r="A157" s="7">
        <v>45803</v>
      </c>
      <c r="B157" s="5" t="s">
        <v>31</v>
      </c>
      <c r="C157" s="9">
        <v>826</v>
      </c>
      <c r="D157" s="9">
        <v>142</v>
      </c>
      <c r="E157" s="9">
        <v>341016</v>
      </c>
      <c r="F157" s="3">
        <v>7.44</v>
      </c>
      <c r="G157" s="9">
        <v>12031</v>
      </c>
    </row>
    <row r="158" spans="1:7" ht="15.75" customHeight="1" x14ac:dyDescent="0.3">
      <c r="A158" s="7">
        <v>45810</v>
      </c>
      <c r="B158" s="5" t="s">
        <v>14</v>
      </c>
      <c r="C158" s="9">
        <v>618</v>
      </c>
      <c r="D158" s="9">
        <v>264</v>
      </c>
      <c r="E158" s="9">
        <v>285164</v>
      </c>
      <c r="F158" s="3">
        <v>4.8600000000000003</v>
      </c>
      <c r="G158" s="9">
        <v>15128</v>
      </c>
    </row>
    <row r="159" spans="1:7" ht="15.75" customHeight="1" x14ac:dyDescent="0.3">
      <c r="A159" s="7">
        <v>45810</v>
      </c>
      <c r="B159" s="5" t="s">
        <v>24</v>
      </c>
      <c r="C159" s="9">
        <v>1419</v>
      </c>
      <c r="D159" s="9">
        <v>293</v>
      </c>
      <c r="E159" s="9">
        <v>116632</v>
      </c>
      <c r="F159" s="3">
        <v>6.93</v>
      </c>
      <c r="G159" s="9">
        <v>11826</v>
      </c>
    </row>
    <row r="160" spans="1:7" ht="15.75" customHeight="1" x14ac:dyDescent="0.3">
      <c r="A160" s="7">
        <v>45810</v>
      </c>
      <c r="B160" s="5" t="s">
        <v>31</v>
      </c>
      <c r="C160" s="9">
        <v>637</v>
      </c>
      <c r="D160" s="9">
        <v>68</v>
      </c>
      <c r="E160" s="9">
        <v>115694</v>
      </c>
      <c r="F160" s="3">
        <v>9.99</v>
      </c>
      <c r="G160" s="9">
        <v>12562</v>
      </c>
    </row>
    <row r="161" spans="1:7" ht="15.75" customHeight="1" x14ac:dyDescent="0.3">
      <c r="A161" s="7">
        <v>45817</v>
      </c>
      <c r="B161" s="5" t="s">
        <v>14</v>
      </c>
      <c r="C161" s="9">
        <v>917</v>
      </c>
      <c r="D161" s="9">
        <v>187</v>
      </c>
      <c r="E161" s="9">
        <v>64444</v>
      </c>
      <c r="F161" s="3">
        <v>5.22</v>
      </c>
      <c r="G161" s="9">
        <v>13013</v>
      </c>
    </row>
    <row r="162" spans="1:7" ht="15.75" customHeight="1" x14ac:dyDescent="0.3">
      <c r="A162" s="7">
        <v>45817</v>
      </c>
      <c r="B162" s="5" t="s">
        <v>24</v>
      </c>
      <c r="C162" s="9">
        <v>810</v>
      </c>
      <c r="D162" s="9">
        <v>232</v>
      </c>
      <c r="E162" s="9">
        <v>362559</v>
      </c>
      <c r="F162" s="3">
        <v>5.17</v>
      </c>
      <c r="G162" s="9">
        <v>12937</v>
      </c>
    </row>
    <row r="163" spans="1:7" ht="15.75" customHeight="1" x14ac:dyDescent="0.3">
      <c r="A163" s="7">
        <v>45817</v>
      </c>
      <c r="B163" s="5" t="s">
        <v>31</v>
      </c>
      <c r="C163" s="9">
        <v>1183</v>
      </c>
      <c r="D163" s="9">
        <v>248</v>
      </c>
      <c r="E163" s="9">
        <v>226881</v>
      </c>
      <c r="F163" s="3">
        <v>5.17</v>
      </c>
      <c r="G163" s="9">
        <v>14534</v>
      </c>
    </row>
    <row r="164" spans="1:7" ht="15.75" customHeight="1" x14ac:dyDescent="0.3">
      <c r="A164" s="7">
        <v>45824</v>
      </c>
      <c r="B164" s="5" t="s">
        <v>14</v>
      </c>
      <c r="C164" s="9">
        <v>765</v>
      </c>
      <c r="D164" s="9">
        <v>67</v>
      </c>
      <c r="E164" s="9">
        <v>283537</v>
      </c>
      <c r="F164" s="3">
        <v>6.18</v>
      </c>
      <c r="G164" s="9">
        <v>8182</v>
      </c>
    </row>
    <row r="165" spans="1:7" ht="15.75" customHeight="1" x14ac:dyDescent="0.3">
      <c r="A165" s="7">
        <v>45824</v>
      </c>
      <c r="B165" s="5" t="s">
        <v>24</v>
      </c>
      <c r="C165" s="9">
        <v>540</v>
      </c>
      <c r="D165" s="9">
        <v>215</v>
      </c>
      <c r="E165" s="9">
        <v>62837</v>
      </c>
      <c r="F165" s="3">
        <v>5.3</v>
      </c>
      <c r="G165" s="9">
        <v>10615</v>
      </c>
    </row>
    <row r="166" spans="1:7" ht="15.75" customHeight="1" x14ac:dyDescent="0.3">
      <c r="A166" s="7">
        <v>45824</v>
      </c>
      <c r="B166" s="5" t="s">
        <v>31</v>
      </c>
      <c r="C166" s="9">
        <v>1145</v>
      </c>
      <c r="D166" s="9">
        <v>151</v>
      </c>
      <c r="E166" s="9">
        <v>182759</v>
      </c>
      <c r="F166" s="3">
        <v>5.99</v>
      </c>
      <c r="G166" s="9">
        <v>20109</v>
      </c>
    </row>
    <row r="167" spans="1:7" ht="15.75" customHeight="1" x14ac:dyDescent="0.3">
      <c r="A167" s="7">
        <v>45831</v>
      </c>
      <c r="B167" s="5" t="s">
        <v>14</v>
      </c>
      <c r="C167" s="9">
        <v>564</v>
      </c>
      <c r="D167" s="9">
        <v>244</v>
      </c>
      <c r="E167" s="9">
        <v>279405</v>
      </c>
      <c r="F167" s="3">
        <v>8.43</v>
      </c>
      <c r="G167" s="9">
        <v>26024</v>
      </c>
    </row>
    <row r="168" spans="1:7" ht="15.75" customHeight="1" x14ac:dyDescent="0.3">
      <c r="A168" s="7">
        <v>45831</v>
      </c>
      <c r="B168" s="5" t="s">
        <v>24</v>
      </c>
      <c r="C168" s="9">
        <v>668</v>
      </c>
      <c r="D168" s="9">
        <v>124</v>
      </c>
      <c r="E168" s="9">
        <v>257485</v>
      </c>
      <c r="F168" s="3">
        <v>7.55</v>
      </c>
      <c r="G168" s="9">
        <v>26730</v>
      </c>
    </row>
    <row r="169" spans="1:7" ht="15.75" customHeight="1" x14ac:dyDescent="0.3">
      <c r="A169" s="7">
        <v>45831</v>
      </c>
      <c r="B169" s="5" t="s">
        <v>31</v>
      </c>
      <c r="C169" s="9">
        <v>761</v>
      </c>
      <c r="D169" s="9">
        <v>241</v>
      </c>
      <c r="E169" s="9">
        <v>154977</v>
      </c>
      <c r="F169" s="3">
        <v>5.63</v>
      </c>
      <c r="G169" s="9">
        <v>10563</v>
      </c>
    </row>
    <row r="170" spans="1:7" ht="15.75" customHeight="1" x14ac:dyDescent="0.3">
      <c r="A170" s="7">
        <v>45838</v>
      </c>
      <c r="B170" s="5" t="s">
        <v>14</v>
      </c>
      <c r="C170" s="9">
        <v>593</v>
      </c>
      <c r="D170" s="9">
        <v>108</v>
      </c>
      <c r="E170" s="9">
        <v>216500</v>
      </c>
      <c r="F170" s="3">
        <v>4.71</v>
      </c>
      <c r="G170" s="9">
        <v>27575</v>
      </c>
    </row>
    <row r="171" spans="1:7" ht="15.75" customHeight="1" x14ac:dyDescent="0.3">
      <c r="A171" s="7">
        <v>45838</v>
      </c>
      <c r="B171" s="5" t="s">
        <v>24</v>
      </c>
      <c r="C171" s="9">
        <v>1349</v>
      </c>
      <c r="D171" s="9">
        <v>115</v>
      </c>
      <c r="E171" s="9">
        <v>102102</v>
      </c>
      <c r="F171" s="3">
        <v>5.28</v>
      </c>
      <c r="G171" s="9">
        <v>14479</v>
      </c>
    </row>
    <row r="172" spans="1:7" ht="15.75" customHeight="1" x14ac:dyDescent="0.3">
      <c r="A172" s="7">
        <v>45838</v>
      </c>
      <c r="B172" s="5" t="s">
        <v>31</v>
      </c>
      <c r="C172" s="9">
        <v>693</v>
      </c>
      <c r="D172" s="9">
        <v>97</v>
      </c>
      <c r="E172" s="9">
        <v>92025</v>
      </c>
      <c r="F172" s="3">
        <v>5.95</v>
      </c>
      <c r="G172" s="9">
        <v>15915</v>
      </c>
    </row>
    <row r="173" spans="1:7" ht="15.75" customHeight="1" x14ac:dyDescent="0.3">
      <c r="A173" s="7">
        <v>45845</v>
      </c>
      <c r="B173" s="5" t="s">
        <v>14</v>
      </c>
      <c r="C173" s="9">
        <v>974</v>
      </c>
      <c r="D173" s="9">
        <v>143</v>
      </c>
      <c r="E173" s="9">
        <v>247965</v>
      </c>
      <c r="F173" s="3">
        <v>9.98</v>
      </c>
      <c r="G173" s="9">
        <v>12767</v>
      </c>
    </row>
    <row r="174" spans="1:7" ht="15.75" customHeight="1" x14ac:dyDescent="0.3">
      <c r="A174" s="7">
        <v>45845</v>
      </c>
      <c r="B174" s="5" t="s">
        <v>24</v>
      </c>
      <c r="C174" s="9">
        <v>1155</v>
      </c>
      <c r="D174" s="9">
        <v>122</v>
      </c>
      <c r="E174" s="9">
        <v>387352</v>
      </c>
      <c r="F174" s="3">
        <v>9.93</v>
      </c>
      <c r="G174" s="9">
        <v>12170</v>
      </c>
    </row>
    <row r="175" spans="1:7" ht="15.75" customHeight="1" x14ac:dyDescent="0.3">
      <c r="A175" s="7">
        <v>45845</v>
      </c>
      <c r="B175" s="5" t="s">
        <v>31</v>
      </c>
      <c r="C175" s="9">
        <v>1051</v>
      </c>
      <c r="D175" s="9">
        <v>246</v>
      </c>
      <c r="E175" s="9">
        <v>253985</v>
      </c>
      <c r="F175" s="3">
        <v>9.08</v>
      </c>
      <c r="G175" s="9">
        <v>7245</v>
      </c>
    </row>
    <row r="176" spans="1:7" ht="15.75" customHeight="1" x14ac:dyDescent="0.3">
      <c r="A176" s="7">
        <v>45852</v>
      </c>
      <c r="B176" s="5" t="s">
        <v>14</v>
      </c>
      <c r="C176" s="9">
        <v>1457</v>
      </c>
      <c r="D176" s="9">
        <v>183</v>
      </c>
      <c r="E176" s="9">
        <v>129640</v>
      </c>
      <c r="F176" s="3">
        <v>7.98</v>
      </c>
      <c r="G176" s="9">
        <v>12985</v>
      </c>
    </row>
    <row r="177" spans="1:7" ht="15.75" customHeight="1" x14ac:dyDescent="0.3">
      <c r="A177" s="7">
        <v>45852</v>
      </c>
      <c r="B177" s="5" t="s">
        <v>24</v>
      </c>
      <c r="C177" s="9">
        <v>670</v>
      </c>
      <c r="D177" s="9">
        <v>242</v>
      </c>
      <c r="E177" s="9">
        <v>281913</v>
      </c>
      <c r="F177" s="3">
        <v>9.6199999999999992</v>
      </c>
      <c r="G177" s="9">
        <v>16377</v>
      </c>
    </row>
    <row r="178" spans="1:7" ht="15.75" customHeight="1" x14ac:dyDescent="0.3">
      <c r="A178" s="7">
        <v>45852</v>
      </c>
      <c r="B178" s="5" t="s">
        <v>31</v>
      </c>
      <c r="C178" s="9">
        <v>1111</v>
      </c>
      <c r="D178" s="9">
        <v>159</v>
      </c>
      <c r="E178" s="9">
        <v>360770</v>
      </c>
      <c r="F178" s="3">
        <v>8.7100000000000009</v>
      </c>
      <c r="G178" s="9">
        <v>11453</v>
      </c>
    </row>
    <row r="179" spans="1:7" ht="15.75" customHeight="1" x14ac:dyDescent="0.3">
      <c r="A179" s="7">
        <v>45859</v>
      </c>
      <c r="B179" s="5" t="s">
        <v>14</v>
      </c>
      <c r="C179" s="9">
        <v>1197</v>
      </c>
      <c r="D179" s="9">
        <v>246</v>
      </c>
      <c r="E179" s="9">
        <v>127273</v>
      </c>
      <c r="F179" s="3">
        <v>6.69</v>
      </c>
      <c r="G179" s="9">
        <v>12323</v>
      </c>
    </row>
    <row r="180" spans="1:7" ht="15.75" customHeight="1" x14ac:dyDescent="0.3">
      <c r="A180" s="7">
        <v>45859</v>
      </c>
      <c r="B180" s="5" t="s">
        <v>24</v>
      </c>
      <c r="C180" s="9">
        <v>754</v>
      </c>
      <c r="D180" s="9">
        <v>150</v>
      </c>
      <c r="E180" s="9">
        <v>189622</v>
      </c>
      <c r="F180" s="3">
        <v>4.25</v>
      </c>
      <c r="G180" s="9">
        <v>11911</v>
      </c>
    </row>
    <row r="181" spans="1:7" ht="15.75" customHeight="1" x14ac:dyDescent="0.3">
      <c r="A181" s="7">
        <v>45859</v>
      </c>
      <c r="B181" s="5" t="s">
        <v>31</v>
      </c>
      <c r="C181" s="9">
        <v>1246</v>
      </c>
      <c r="D181" s="9">
        <v>107</v>
      </c>
      <c r="E181" s="9">
        <v>350949</v>
      </c>
      <c r="F181" s="3">
        <v>4.9800000000000004</v>
      </c>
      <c r="G181" s="9">
        <v>27809</v>
      </c>
    </row>
    <row r="182" spans="1:7" ht="15.75" customHeight="1" x14ac:dyDescent="0.3">
      <c r="A182" s="7">
        <v>45866</v>
      </c>
      <c r="B182" s="5" t="s">
        <v>14</v>
      </c>
      <c r="C182" s="9">
        <v>780</v>
      </c>
      <c r="D182" s="9">
        <v>213</v>
      </c>
      <c r="E182" s="9">
        <v>121431</v>
      </c>
      <c r="F182" s="3">
        <v>4.97</v>
      </c>
      <c r="G182" s="9">
        <v>21464</v>
      </c>
    </row>
    <row r="183" spans="1:7" ht="15.75" customHeight="1" x14ac:dyDescent="0.3">
      <c r="A183" s="7">
        <v>45866</v>
      </c>
      <c r="B183" s="5" t="s">
        <v>24</v>
      </c>
      <c r="C183" s="9">
        <v>1425</v>
      </c>
      <c r="D183" s="9">
        <v>143</v>
      </c>
      <c r="E183" s="9">
        <v>116742</v>
      </c>
      <c r="F183" s="3">
        <v>3.71</v>
      </c>
      <c r="G183" s="9">
        <v>27126</v>
      </c>
    </row>
    <row r="184" spans="1:7" ht="15.75" customHeight="1" x14ac:dyDescent="0.3">
      <c r="A184" s="7">
        <v>45866</v>
      </c>
      <c r="B184" s="5" t="s">
        <v>31</v>
      </c>
      <c r="C184" s="9">
        <v>1490</v>
      </c>
      <c r="D184" s="9">
        <v>103</v>
      </c>
      <c r="E184" s="9">
        <v>81184</v>
      </c>
      <c r="F184" s="3">
        <v>7.79</v>
      </c>
      <c r="G184" s="9">
        <v>10681</v>
      </c>
    </row>
    <row r="185" spans="1:7" ht="15.75" customHeight="1" x14ac:dyDescent="0.3">
      <c r="A185" s="7">
        <v>45873</v>
      </c>
      <c r="B185" s="5" t="s">
        <v>14</v>
      </c>
      <c r="C185" s="9">
        <v>949</v>
      </c>
      <c r="D185" s="9">
        <v>282</v>
      </c>
      <c r="E185" s="9">
        <v>87126</v>
      </c>
      <c r="F185" s="3">
        <v>4.96</v>
      </c>
      <c r="G185" s="9">
        <v>5413</v>
      </c>
    </row>
    <row r="186" spans="1:7" ht="15.75" customHeight="1" x14ac:dyDescent="0.3">
      <c r="A186" s="7">
        <v>45873</v>
      </c>
      <c r="B186" s="5" t="s">
        <v>24</v>
      </c>
      <c r="C186" s="9">
        <v>640</v>
      </c>
      <c r="D186" s="9">
        <v>141</v>
      </c>
      <c r="E186" s="9">
        <v>267546</v>
      </c>
      <c r="F186" s="3">
        <v>8.58</v>
      </c>
      <c r="G186" s="9">
        <v>25058</v>
      </c>
    </row>
    <row r="187" spans="1:7" ht="15.75" customHeight="1" x14ac:dyDescent="0.3">
      <c r="A187" s="7">
        <v>45873</v>
      </c>
      <c r="B187" s="5" t="s">
        <v>31</v>
      </c>
      <c r="C187" s="9">
        <v>616</v>
      </c>
      <c r="D187" s="9">
        <v>93</v>
      </c>
      <c r="E187" s="9">
        <v>133082</v>
      </c>
      <c r="F187" s="3">
        <v>8.51</v>
      </c>
      <c r="G187" s="9">
        <v>18303</v>
      </c>
    </row>
    <row r="188" spans="1:7" ht="15.75" customHeight="1" x14ac:dyDescent="0.3">
      <c r="A188" s="7">
        <v>45880</v>
      </c>
      <c r="B188" s="5" t="s">
        <v>14</v>
      </c>
      <c r="C188" s="9">
        <v>1080</v>
      </c>
      <c r="D188" s="9">
        <v>184</v>
      </c>
      <c r="E188" s="9">
        <v>340557</v>
      </c>
      <c r="F188" s="3">
        <v>5.41</v>
      </c>
      <c r="G188" s="9">
        <v>5526</v>
      </c>
    </row>
    <row r="189" spans="1:7" ht="15.75" customHeight="1" x14ac:dyDescent="0.3">
      <c r="A189" s="7">
        <v>45880</v>
      </c>
      <c r="B189" s="5" t="s">
        <v>24</v>
      </c>
      <c r="C189" s="9">
        <v>938</v>
      </c>
      <c r="D189" s="9">
        <v>236</v>
      </c>
      <c r="E189" s="9">
        <v>116472</v>
      </c>
      <c r="F189" s="3">
        <v>8.7200000000000006</v>
      </c>
      <c r="G189" s="9">
        <v>17460</v>
      </c>
    </row>
    <row r="190" spans="1:7" ht="15.75" customHeight="1" x14ac:dyDescent="0.3">
      <c r="A190" s="7">
        <v>45880</v>
      </c>
      <c r="B190" s="5" t="s">
        <v>31</v>
      </c>
      <c r="C190" s="9">
        <v>1007</v>
      </c>
      <c r="D190" s="9">
        <v>258</v>
      </c>
      <c r="E190" s="9">
        <v>113412</v>
      </c>
      <c r="F190" s="3">
        <v>7.71</v>
      </c>
      <c r="G190" s="9">
        <v>14475</v>
      </c>
    </row>
    <row r="191" spans="1:7" ht="15.75" customHeight="1" x14ac:dyDescent="0.3">
      <c r="A191" s="7">
        <v>45887</v>
      </c>
      <c r="B191" s="5" t="s">
        <v>14</v>
      </c>
      <c r="C191" s="9">
        <v>541</v>
      </c>
      <c r="D191" s="9">
        <v>208</v>
      </c>
      <c r="E191" s="9">
        <v>157547</v>
      </c>
      <c r="F191" s="3">
        <v>8.35</v>
      </c>
      <c r="G191" s="9">
        <v>20162</v>
      </c>
    </row>
    <row r="192" spans="1:7" ht="15.75" customHeight="1" x14ac:dyDescent="0.3">
      <c r="A192" s="7">
        <v>45887</v>
      </c>
      <c r="B192" s="5" t="s">
        <v>24</v>
      </c>
      <c r="C192" s="9">
        <v>745</v>
      </c>
      <c r="D192" s="9">
        <v>98</v>
      </c>
      <c r="E192" s="9">
        <v>354816</v>
      </c>
      <c r="F192" s="3">
        <v>4.03</v>
      </c>
      <c r="G192" s="9">
        <v>17103</v>
      </c>
    </row>
    <row r="193" spans="1:7" ht="15.75" customHeight="1" x14ac:dyDescent="0.3">
      <c r="A193" s="7">
        <v>45887</v>
      </c>
      <c r="B193" s="5" t="s">
        <v>31</v>
      </c>
      <c r="C193" s="9">
        <v>936</v>
      </c>
      <c r="D193" s="9">
        <v>97</v>
      </c>
      <c r="E193" s="9">
        <v>151799</v>
      </c>
      <c r="F193" s="3">
        <v>9.3699999999999992</v>
      </c>
      <c r="G193" s="9">
        <v>15461</v>
      </c>
    </row>
    <row r="194" spans="1:7" ht="15.75" customHeight="1" x14ac:dyDescent="0.3">
      <c r="A194" s="7">
        <v>45894</v>
      </c>
      <c r="B194" s="5" t="s">
        <v>14</v>
      </c>
      <c r="C194" s="9">
        <v>1183</v>
      </c>
      <c r="D194" s="9">
        <v>223</v>
      </c>
      <c r="E194" s="9">
        <v>143811</v>
      </c>
      <c r="F194" s="3">
        <v>6.07</v>
      </c>
      <c r="G194" s="9">
        <v>22103</v>
      </c>
    </row>
    <row r="195" spans="1:7" ht="15.75" customHeight="1" x14ac:dyDescent="0.3">
      <c r="A195" s="7">
        <v>45894</v>
      </c>
      <c r="B195" s="5" t="s">
        <v>24</v>
      </c>
      <c r="C195" s="9">
        <v>1413</v>
      </c>
      <c r="D195" s="9">
        <v>245</v>
      </c>
      <c r="E195" s="9">
        <v>296450</v>
      </c>
      <c r="F195" s="3">
        <v>6.52</v>
      </c>
      <c r="G195" s="9">
        <v>11625</v>
      </c>
    </row>
    <row r="196" spans="1:7" ht="15.75" customHeight="1" x14ac:dyDescent="0.3">
      <c r="A196" s="7">
        <v>45894</v>
      </c>
      <c r="B196" s="5" t="s">
        <v>31</v>
      </c>
      <c r="C196" s="9">
        <v>791</v>
      </c>
      <c r="D196" s="9">
        <v>273</v>
      </c>
      <c r="E196" s="9">
        <v>144049</v>
      </c>
      <c r="F196" s="3">
        <v>3.08</v>
      </c>
      <c r="G196" s="9">
        <v>5281</v>
      </c>
    </row>
    <row r="197" spans="1:7" ht="15.75" customHeight="1" x14ac:dyDescent="0.3">
      <c r="A197" s="7">
        <v>45901</v>
      </c>
      <c r="B197" s="5" t="s">
        <v>14</v>
      </c>
      <c r="C197" s="9">
        <v>1052</v>
      </c>
      <c r="D197" s="9">
        <v>180</v>
      </c>
      <c r="E197" s="9">
        <v>272534</v>
      </c>
      <c r="F197" s="3">
        <v>5.34</v>
      </c>
      <c r="G197" s="9">
        <v>13424</v>
      </c>
    </row>
    <row r="198" spans="1:7" ht="15.75" customHeight="1" x14ac:dyDescent="0.3">
      <c r="A198" s="7">
        <v>45901</v>
      </c>
      <c r="B198" s="5" t="s">
        <v>24</v>
      </c>
      <c r="C198" s="9">
        <v>572</v>
      </c>
      <c r="D198" s="9">
        <v>270</v>
      </c>
      <c r="E198" s="9">
        <v>82265</v>
      </c>
      <c r="F198" s="3">
        <v>3.65</v>
      </c>
      <c r="G198" s="9">
        <v>13140</v>
      </c>
    </row>
    <row r="199" spans="1:7" ht="15.75" customHeight="1" x14ac:dyDescent="0.3">
      <c r="A199" s="7">
        <v>45901</v>
      </c>
      <c r="B199" s="5" t="s">
        <v>31</v>
      </c>
      <c r="C199" s="9">
        <v>503</v>
      </c>
      <c r="D199" s="9">
        <v>253</v>
      </c>
      <c r="E199" s="9">
        <v>313562</v>
      </c>
      <c r="F199" s="3">
        <v>4.18</v>
      </c>
      <c r="G199" s="9">
        <v>19538</v>
      </c>
    </row>
    <row r="200" spans="1:7" ht="15.75" customHeight="1" x14ac:dyDescent="0.3">
      <c r="A200" s="7">
        <v>45908</v>
      </c>
      <c r="B200" s="5" t="s">
        <v>14</v>
      </c>
      <c r="C200" s="9">
        <v>1017</v>
      </c>
      <c r="D200" s="9">
        <v>197</v>
      </c>
      <c r="E200" s="9">
        <v>89918</v>
      </c>
      <c r="F200" s="3">
        <v>3.91</v>
      </c>
      <c r="G200" s="9">
        <v>7881</v>
      </c>
    </row>
    <row r="201" spans="1:7" ht="15.75" customHeight="1" x14ac:dyDescent="0.3">
      <c r="A201" s="7">
        <v>45908</v>
      </c>
      <c r="B201" s="5" t="s">
        <v>24</v>
      </c>
      <c r="C201" s="9">
        <v>860</v>
      </c>
      <c r="D201" s="9">
        <v>244</v>
      </c>
      <c r="E201" s="9">
        <v>348686</v>
      </c>
      <c r="F201" s="3">
        <v>5.12</v>
      </c>
      <c r="G201" s="9">
        <v>11418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12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</row>
    <row r="2" spans="1:7" ht="14.4" x14ac:dyDescent="0.3">
      <c r="A2" s="2" t="s">
        <v>59</v>
      </c>
      <c r="B2" s="2" t="s">
        <v>353</v>
      </c>
      <c r="C2" s="2" t="s">
        <v>354</v>
      </c>
      <c r="D2" s="2" t="s">
        <v>355</v>
      </c>
      <c r="E2" s="2">
        <v>175000</v>
      </c>
      <c r="F2" s="2" t="s">
        <v>356</v>
      </c>
      <c r="G2" s="2" t="s">
        <v>357</v>
      </c>
    </row>
    <row r="3" spans="1:7" ht="14.4" x14ac:dyDescent="0.3">
      <c r="A3" s="2" t="s">
        <v>55</v>
      </c>
      <c r="B3" s="2" t="s">
        <v>358</v>
      </c>
      <c r="C3" s="2" t="s">
        <v>359</v>
      </c>
      <c r="D3" s="2" t="s">
        <v>360</v>
      </c>
      <c r="E3" s="2">
        <v>225000</v>
      </c>
      <c r="F3" s="2" t="s">
        <v>361</v>
      </c>
      <c r="G3" s="2" t="s">
        <v>362</v>
      </c>
    </row>
    <row r="4" spans="1:7" ht="14.4" x14ac:dyDescent="0.3">
      <c r="A4" s="2" t="s">
        <v>18</v>
      </c>
      <c r="B4" s="2" t="s">
        <v>363</v>
      </c>
      <c r="C4" s="2" t="s">
        <v>364</v>
      </c>
      <c r="D4" s="2" t="s">
        <v>365</v>
      </c>
      <c r="E4" s="2">
        <v>200000</v>
      </c>
      <c r="F4" s="2" t="s">
        <v>366</v>
      </c>
      <c r="G4" s="2" t="s">
        <v>367</v>
      </c>
    </row>
    <row r="5" spans="1:7" ht="14.4" x14ac:dyDescent="0.3">
      <c r="A5" s="2" t="s">
        <v>22</v>
      </c>
      <c r="B5" s="2" t="s">
        <v>368</v>
      </c>
      <c r="C5" s="2" t="s">
        <v>369</v>
      </c>
      <c r="D5" s="2" t="s">
        <v>370</v>
      </c>
      <c r="E5" s="2">
        <v>160000</v>
      </c>
      <c r="F5" s="2" t="s">
        <v>371</v>
      </c>
      <c r="G5" s="2" t="s">
        <v>372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frequent hashtags &amp; avg engmt</vt:lpstr>
      <vt:lpstr> content-platform combination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yevate</cp:lastModifiedBy>
  <dcterms:modified xsi:type="dcterms:W3CDTF">2026-02-24T06:54:39Z</dcterms:modified>
</cp:coreProperties>
</file>